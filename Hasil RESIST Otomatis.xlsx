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1" autoFilterDateGrouping="1"/>
  </bookViews>
  <sheets>
    <sheet name="Sheet1" sheetId="1" state="visible" r:id="rId1"/>
    <sheet name="PGA 0,4" sheetId="2" state="visible" r:id="rId2"/>
    <sheet name="PGA 0,5" sheetId="3" state="visible" r:id="rId3"/>
    <sheet name="Ringkasan Efisiensi" sheetId="4" state="visible" r:id="rId4"/>
  </sheets>
  <definedNames>
    <definedName name="_xlnm.Print_Area" localSheetId="1">'PGA 0,4'!$A$1:$AB$18</definedName>
    <definedName name="_xlnm.Print_Area" localSheetId="2">'PGA 0,5'!$A$1:$AB$18</definedName>
    <definedName name="_xlnm._FilterDatabase" localSheetId="3" hidden="1">'Ringkasan Efisiensi'!$A$4:$S$22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3">
    <font>
      <name val="Aptos Narrow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color theme="1"/>
      <sz val="11"/>
      <vertAlign val="subscript"/>
    </font>
    <font>
      <name val="Calibri"/>
      <family val="2"/>
      <color rgb="FF000000"/>
      <sz val="11"/>
    </font>
    <font>
      <name val="Calibri"/>
      <family val="2"/>
      <color theme="1"/>
      <sz val="11"/>
    </font>
    <font>
      <name val="Times New Roman"/>
      <family val="1"/>
      <color theme="1"/>
      <sz val="9"/>
    </font>
    <font>
      <name val="Times New Roman"/>
      <family val="1"/>
      <b val="1"/>
      <color theme="1"/>
      <sz val="11"/>
    </font>
    <font>
      <name val="Times New Roman"/>
      <family val="1"/>
      <color theme="1"/>
      <sz val="12"/>
    </font>
    <font>
      <name val="Times New Roman"/>
      <family val="1"/>
      <color theme="1"/>
      <sz val="12"/>
      <vertAlign val="superscript"/>
    </font>
    <font>
      <b val="1"/>
      <color rgb="00FFFFFF"/>
      <sz val="15"/>
    </font>
    <font>
      <b val="1"/>
      <color rgb="00FFFFFF"/>
    </font>
    <font>
      <b val="1"/>
      <color rgb="009C0006"/>
    </font>
  </fonts>
  <fills count="2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A5A5A5"/>
        <bgColor rgb="FFA5A5A5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7" tint="0.5999938962981048"/>
        <bgColor rgb="FFA5A5A5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8" tint="0.7999816888943144"/>
        <bgColor rgb="FFA5A5A5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3999755851924192"/>
        <bgColor rgb="FFA5A5A5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8" tint="0.5999938962981048"/>
        <bgColor rgb="FFA5A5A5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FCE4D6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6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8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  <xf numFmtId="0" fontId="1" fillId="14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 vertical="center"/>
    </xf>
    <xf numFmtId="0" fontId="1" fillId="7" borderId="1" applyAlignment="1" pivotButton="0" quotePrefix="0" xfId="0">
      <alignment horizontal="center" vertical="center"/>
    </xf>
    <xf numFmtId="0" fontId="1" fillId="7" borderId="4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wrapText="1"/>
    </xf>
    <xf numFmtId="0" fontId="1" fillId="16" borderId="0" pivotButton="0" quotePrefix="0" xfId="0"/>
    <xf numFmtId="0" fontId="8" fillId="16" borderId="0" applyAlignment="1" pivotButton="0" quotePrefix="0" xfId="0">
      <alignment horizontal="center" wrapText="1"/>
    </xf>
    <xf numFmtId="0" fontId="8" fillId="16" borderId="1" applyAlignment="1" pivotButton="0" quotePrefix="0" xfId="0">
      <alignment horizontal="center" vertical="center" wrapText="1"/>
    </xf>
    <xf numFmtId="2" fontId="8" fillId="16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/>
    </xf>
    <xf numFmtId="0" fontId="8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/>
    </xf>
    <xf numFmtId="0" fontId="1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/>
    </xf>
    <xf numFmtId="0" fontId="1" fillId="14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/>
    </xf>
    <xf numFmtId="0" fontId="1" fillId="7" borderId="2" applyAlignment="1" pivotButton="0" quotePrefix="0" xfId="0">
      <alignment horizontal="center" vertical="center"/>
    </xf>
    <xf numFmtId="0" fontId="1" fillId="7" borderId="3" applyAlignment="1" pivotButton="0" quotePrefix="0" xfId="0">
      <alignment horizontal="center" vertical="center"/>
    </xf>
    <xf numFmtId="0" fontId="1" fillId="7" borderId="4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10" fillId="17" borderId="0" applyAlignment="1" pivotButton="0" quotePrefix="0" xfId="0">
      <alignment horizontal="center"/>
    </xf>
    <xf numFmtId="164" fontId="0" fillId="0" borderId="0" pivotButton="0" quotePrefix="0" xfId="0"/>
    <xf numFmtId="0" fontId="12" fillId="0" borderId="0" pivotButton="0" quotePrefix="0" xfId="0"/>
    <xf numFmtId="0" fontId="11" fillId="18" borderId="10" applyAlignment="1" pivotButton="0" quotePrefix="0" xfId="0">
      <alignment horizontal="center" vertical="center" wrapText="1"/>
    </xf>
    <xf numFmtId="0" fontId="0" fillId="19" borderId="10" applyAlignment="1" pivotButton="0" quotePrefix="0" xfId="0">
      <alignment vertical="center" wrapText="1"/>
    </xf>
    <xf numFmtId="164" fontId="0" fillId="19" borderId="1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7996452398113428"/>
          <y val="0.02622824926666922"/>
          <w val="0.915158977107344"/>
          <h val="0.6953300009988597"/>
        </manualLayout>
      </layout>
      <lineChart>
        <grouping val="standard"/>
        <varyColors val="0"/>
        <ser>
          <idx val="0"/>
          <order val="0"/>
          <tx>
            <v>Shear (U)x</v>
          </tx>
          <spPr>
            <a:ln w="3175" cap="rnd">
              <a:solidFill>
                <a:srgbClr val="0070C0"/>
              </a:solidFill>
              <a:prstDash val="solid"/>
              <a:round/>
            </a:ln>
          </spPr>
          <marker>
            <symbol val="diamond"/>
            <size val="6"/>
            <spPr>
              <a:noFill/>
              <a:ln w="3175">
                <a:solidFill>
                  <a:srgbClr val="0070C0"/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0">
                <v>11</v>
              </pt>
              <pt idx="1">
                <v>11</v>
              </pt>
              <pt idx="2">
                <v>10</v>
              </pt>
              <pt idx="3">
                <v>11</v>
              </pt>
              <pt idx="4">
                <v>11</v>
              </pt>
              <pt idx="5">
                <v>11</v>
              </pt>
              <pt idx="6">
                <v>11</v>
              </pt>
              <pt idx="7">
                <v>99</v>
              </pt>
              <pt idx="8">
                <v>99</v>
              </pt>
            </numLit>
          </val>
          <smooth val="0"/>
        </ser>
        <ser>
          <idx val="1"/>
          <order val="1"/>
          <tx>
            <v>Moment (U)x</v>
          </tx>
          <spPr>
            <a:ln w="3175" cap="rnd">
              <a:solidFill>
                <a:schemeClr val="accent2"/>
              </a:solidFill>
              <a:prstDash val="solid"/>
              <a:round/>
            </a:ln>
          </spPr>
          <marker>
            <symbol val="square"/>
            <size val="6"/>
            <spPr>
              <a:noFill/>
              <a:ln w="3175">
                <a:solidFill>
                  <a:schemeClr val="accent2"/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0">
                <v>23</v>
              </pt>
              <pt idx="1">
                <v>23</v>
              </pt>
              <pt idx="2">
                <v>22</v>
              </pt>
              <pt idx="3">
                <v>22</v>
              </pt>
              <pt idx="4">
                <v>22</v>
              </pt>
              <pt idx="5">
                <v>22</v>
              </pt>
              <pt idx="6">
                <v>23</v>
              </pt>
              <pt idx="7">
                <v>34</v>
              </pt>
              <pt idx="8">
                <v>100</v>
              </pt>
            </numLit>
          </val>
          <smooth val="0"/>
        </ser>
        <ser>
          <idx val="2"/>
          <order val="2"/>
          <tx>
            <v>Drift (U)x</v>
          </tx>
          <spPr>
            <a:ln w="3175" cap="rnd">
              <a:solidFill>
                <a:schemeClr val="accent6">
                  <a:lumMod val="50000"/>
                </a:schemeClr>
              </a:solidFill>
              <a:prstDash val="solid"/>
              <a:round/>
            </a:ln>
          </spPr>
          <marker>
            <symbol val="triangle"/>
            <size val="6"/>
            <spPr>
              <a:noFill/>
              <a:ln w="3175">
                <a:solidFill>
                  <a:schemeClr val="accent6">
                    <a:lumMod val="50000"/>
                  </a:schemeClr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0">
                <v>99</v>
              </pt>
              <pt idx="1">
                <v>99</v>
              </pt>
              <pt idx="2">
                <v>97</v>
              </pt>
              <pt idx="3">
                <v>96</v>
              </pt>
              <pt idx="4">
                <v>95</v>
              </pt>
              <pt idx="5">
                <v>97</v>
              </pt>
              <pt idx="6">
                <v>100</v>
              </pt>
              <pt idx="7">
                <v>43</v>
              </pt>
              <pt idx="8">
                <v>43</v>
              </pt>
              <pt idx="9">
                <v>42</v>
              </pt>
              <pt idx="10">
                <v>43</v>
              </pt>
              <pt idx="11">
                <v>62</v>
              </pt>
              <pt idx="12">
                <v>75</v>
              </pt>
            </numLit>
          </val>
          <smooth val="0"/>
        </ser>
        <ser>
          <idx val="3"/>
          <order val="3"/>
          <tx>
            <v>Braced (U)x</v>
          </tx>
          <spPr>
            <a:ln w="3175" cap="rnd">
              <a:solidFill>
                <a:srgbClr val="00B0F0"/>
              </a:solidFill>
              <a:prstDash val="solid"/>
              <a:round/>
            </a:ln>
          </spPr>
          <marker>
            <symbol val="x"/>
            <size val="6"/>
            <spPr>
              <a:noFill/>
              <a:ln w="3175">
                <a:solidFill>
                  <a:srgbClr val="00B0F0"/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9">
                <v>92</v>
              </pt>
              <pt idx="10">
                <v>97</v>
              </pt>
              <pt idx="11">
                <v>85</v>
              </pt>
              <pt idx="12">
                <v>51</v>
              </pt>
            </numLit>
          </val>
          <smooth val="0"/>
        </ser>
        <ser>
          <idx val="4"/>
          <order val="4"/>
          <tx>
            <v>Shear (S)x</v>
          </tx>
          <spPr>
            <a:ln w="3175" cap="rnd">
              <a:solidFill>
                <a:schemeClr val="accent5"/>
              </a:solidFill>
              <a:prstDash val="solid"/>
              <a:round/>
            </a:ln>
          </spPr>
          <marker>
            <symbol val="star"/>
            <size val="6"/>
            <spPr>
              <a:noFill/>
              <a:ln w="3175">
                <a:solidFill>
                  <a:schemeClr val="accent5"/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0">
                <v>7</v>
              </pt>
              <pt idx="1">
                <v>7</v>
              </pt>
              <pt idx="2">
                <v>7</v>
              </pt>
              <pt idx="3">
                <v>7</v>
              </pt>
              <pt idx="4">
                <v>7</v>
              </pt>
              <pt idx="5">
                <v>7</v>
              </pt>
              <pt idx="6">
                <v>7</v>
              </pt>
              <pt idx="7">
                <v>29</v>
              </pt>
              <pt idx="8">
                <v>55</v>
              </pt>
            </numLit>
          </val>
          <smooth val="0"/>
        </ser>
        <ser>
          <idx val="5"/>
          <order val="5"/>
          <tx>
            <v>Moment (S)x</v>
          </tx>
          <spPr>
            <a:ln w="3175" cap="rnd">
              <a:solidFill>
                <a:schemeClr val="accent3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6"/>
            <spPr>
              <a:noFill/>
              <a:ln w="3175">
                <a:solidFill>
                  <a:schemeClr val="accent3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0">
                <v>21</v>
              </pt>
              <pt idx="1">
                <v>21</v>
              </pt>
              <pt idx="2">
                <v>20</v>
              </pt>
              <pt idx="3">
                <v>19</v>
              </pt>
              <pt idx="4">
                <v>19</v>
              </pt>
              <pt idx="5">
                <v>19</v>
              </pt>
              <pt idx="6">
                <v>20</v>
              </pt>
              <pt idx="7">
                <v>19</v>
              </pt>
              <pt idx="8">
                <v>47</v>
              </pt>
            </numLit>
          </val>
          <smooth val="0"/>
        </ser>
        <ser>
          <idx val="6"/>
          <order val="6"/>
          <tx>
            <v>Drift (S)x</v>
          </tx>
          <spPr>
            <a:ln w="3175" cap="rnd">
              <a:solidFill>
                <a:srgbClr val="002060"/>
              </a:solidFill>
              <a:prstDash val="solid"/>
              <a:round/>
            </a:ln>
          </spPr>
          <marker>
            <symbol val="plus"/>
            <size val="6"/>
            <spPr>
              <a:noFill/>
              <a:ln w="3175">
                <a:solidFill>
                  <a:srgbClr val="002060"/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0">
                <v>48</v>
              </pt>
              <pt idx="1">
                <v>49</v>
              </pt>
              <pt idx="2">
                <v>47</v>
              </pt>
              <pt idx="3">
                <v>46</v>
              </pt>
              <pt idx="4">
                <v>45</v>
              </pt>
              <pt idx="5">
                <v>46</v>
              </pt>
              <pt idx="6">
                <v>48</v>
              </pt>
              <pt idx="7">
                <v>31</v>
              </pt>
              <pt idx="8">
                <v>54</v>
              </pt>
              <pt idx="9">
                <v>51</v>
              </pt>
              <pt idx="10">
                <v>51</v>
              </pt>
              <pt idx="11">
                <v>75</v>
              </pt>
              <pt idx="12">
                <v>89</v>
              </pt>
            </numLit>
          </val>
          <smooth val="0"/>
        </ser>
        <ser>
          <idx val="7"/>
          <order val="7"/>
          <tx>
            <v>Braced (S)x</v>
          </tx>
          <spPr>
            <a:ln w="3175" cap="rnd">
              <a:solidFill>
                <a:schemeClr val="accent2">
                  <a:lumMod val="50000"/>
                </a:schemeClr>
              </a:solidFill>
              <a:prstDash val="solid"/>
              <a:round/>
            </a:ln>
          </spPr>
          <marker>
            <symbol val="dot"/>
            <size val="6"/>
            <spPr>
              <a:solidFill>
                <a:schemeClr val="accent2">
                  <a:lumMod val="60000"/>
                </a:schemeClr>
              </a:solidFill>
              <a:ln w="3175">
                <a:solidFill>
                  <a:schemeClr val="accent2">
                    <a:lumMod val="50000"/>
                  </a:schemeClr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9">
                <v>18</v>
              </pt>
              <pt idx="10">
                <v>19</v>
              </pt>
              <pt idx="11">
                <v>17</v>
              </pt>
              <pt idx="12">
                <v>27</v>
              </pt>
            </numLit>
          </val>
          <smooth val="0"/>
        </ser>
        <ser>
          <idx val="8"/>
          <order val="8"/>
          <tx>
            <v>Shear (U)y</v>
          </tx>
          <spPr>
            <a:ln w="3175" cap="rnd">
              <a:solidFill>
                <a:schemeClr val="tx1"/>
              </a:solidFill>
              <a:prstDash val="solid"/>
              <a:round/>
            </a:ln>
          </spPr>
          <marker>
            <symbol val="dash"/>
            <size val="6"/>
            <spPr>
              <a:solidFill>
                <a:schemeClr val="accent3">
                  <a:lumMod val="60000"/>
                </a:schemeClr>
              </a:solidFill>
              <a:ln w="3175">
                <a:solidFill>
                  <a:schemeClr val="accent3">
                    <a:lumMod val="60000"/>
                  </a:schemeClr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0">
                <v>12</v>
              </pt>
              <pt idx="1">
                <v>68</v>
              </pt>
              <pt idx="2">
                <v>51</v>
              </pt>
              <pt idx="7">
                <v>11</v>
              </pt>
              <pt idx="8">
                <v>11</v>
              </pt>
              <pt idx="9">
                <v>11</v>
              </pt>
              <pt idx="10">
                <v>11</v>
              </pt>
              <pt idx="11">
                <v>11</v>
              </pt>
              <pt idx="12">
                <v>11</v>
              </pt>
            </numLit>
          </val>
          <smooth val="0"/>
        </ser>
        <ser>
          <idx val="9"/>
          <order val="9"/>
          <tx>
            <v>Moment (U)y</v>
          </tx>
          <spPr>
            <a:ln w="3175" cap="rnd">
              <a:solidFill>
                <a:schemeClr val="accent1"/>
              </a:solidFill>
              <a:prstDash val="solid"/>
              <a:round/>
            </a:ln>
          </spPr>
          <marker>
            <symbol val="diamond"/>
            <size val="6"/>
            <spPr>
              <a:noFill/>
              <a:ln w="3175">
                <a:solidFill>
                  <a:schemeClr val="accent1"/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0">
                <v>23</v>
              </pt>
              <pt idx="1">
                <v>95</v>
              </pt>
              <pt idx="2">
                <v>65</v>
              </pt>
              <pt idx="7">
                <v>23</v>
              </pt>
              <pt idx="8">
                <v>23</v>
              </pt>
              <pt idx="9">
                <v>23</v>
              </pt>
              <pt idx="10">
                <v>23</v>
              </pt>
              <pt idx="11">
                <v>23</v>
              </pt>
              <pt idx="12">
                <v>23</v>
              </pt>
            </numLit>
          </val>
          <smooth val="0"/>
        </ser>
        <ser>
          <idx val="10"/>
          <order val="10"/>
          <tx>
            <v>Drift (U)y</v>
          </tx>
          <spPr>
            <a:ln w="3175" cap="rnd">
              <a:solidFill>
                <a:schemeClr val="accent5">
                  <a:lumMod val="75000"/>
                </a:schemeClr>
              </a:solidFill>
              <a:prstDash val="solid"/>
              <a:round/>
            </a:ln>
          </spPr>
          <marker>
            <symbol val="square"/>
            <size val="6"/>
            <spPr>
              <a:noFill/>
              <a:ln w="3175">
                <a:solidFill>
                  <a:schemeClr val="accent5">
                    <a:lumMod val="75000"/>
                  </a:schemeClr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0">
                <v>100</v>
              </pt>
              <pt idx="1">
                <v>73</v>
              </pt>
              <pt idx="2">
                <v>23</v>
              </pt>
              <pt idx="3">
                <v>43</v>
              </pt>
              <pt idx="4">
                <v>44</v>
              </pt>
              <pt idx="5">
                <v>64</v>
              </pt>
              <pt idx="6">
                <v>78</v>
              </pt>
              <pt idx="7">
                <v>100</v>
              </pt>
              <pt idx="8">
                <v>100</v>
              </pt>
              <pt idx="9">
                <v>100</v>
              </pt>
              <pt idx="10">
                <v>100</v>
              </pt>
              <pt idx="11">
                <v>99</v>
              </pt>
              <pt idx="12">
                <v>100</v>
              </pt>
            </numLit>
          </val>
          <smooth val="0"/>
        </ser>
        <ser>
          <idx val="11"/>
          <order val="11"/>
          <tx>
            <v>Braced (U)y</v>
          </tx>
          <spPr>
            <a:ln w="3175" cap="rnd">
              <a:solidFill>
                <a:schemeClr val="accent2">
                  <a:lumMod val="75000"/>
                </a:schemeClr>
              </a:solidFill>
              <a:prstDash val="solid"/>
              <a:round/>
            </a:ln>
          </spPr>
          <marker>
            <symbol val="triangle"/>
            <size val="6"/>
            <spPr>
              <a:noFill/>
              <a:ln w="3175">
                <a:solidFill>
                  <a:schemeClr val="accent2">
                    <a:lumMod val="75000"/>
                  </a:schemeClr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3">
                <v>95</v>
              </pt>
              <pt idx="4">
                <v>100</v>
              </pt>
              <pt idx="5">
                <v>88</v>
              </pt>
              <pt idx="6">
                <v>53</v>
              </pt>
            </numLit>
          </val>
          <smooth val="0"/>
        </ser>
        <ser>
          <idx val="12"/>
          <order val="12"/>
          <tx>
            <v>Shear (S)y</v>
          </tx>
          <spPr>
            <a:ln w="3175" cap="rnd">
              <a:solidFill>
                <a:schemeClr val="accent1">
                  <a:lumMod val="75000"/>
                </a:schemeClr>
              </a:solidFill>
              <a:prstDash val="solid"/>
              <a:round/>
            </a:ln>
          </spPr>
          <marker>
            <symbol val="x"/>
            <size val="6"/>
            <spPr>
              <a:noFill/>
              <a:ln w="3175">
                <a:solidFill>
                  <a:schemeClr val="accent1">
                    <a:lumMod val="75000"/>
                  </a:schemeClr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0">
                <v>7</v>
              </pt>
              <pt idx="1">
                <v>27</v>
              </pt>
              <pt idx="2">
                <v>29</v>
              </pt>
              <pt idx="7">
                <v>7</v>
              </pt>
              <pt idx="8">
                <v>7</v>
              </pt>
              <pt idx="9">
                <v>7</v>
              </pt>
              <pt idx="10">
                <v>7</v>
              </pt>
              <pt idx="11">
                <v>7</v>
              </pt>
              <pt idx="12">
                <v>7</v>
              </pt>
            </numLit>
          </val>
          <smooth val="0"/>
        </ser>
        <ser>
          <idx val="13"/>
          <order val="13"/>
          <tx>
            <v>Moment (S)y</v>
          </tx>
          <spPr>
            <a:ln w="3175" cap="rnd">
              <a:solidFill>
                <a:schemeClr val="accent2"/>
              </a:solidFill>
              <a:prstDash val="solid"/>
              <a:round/>
            </a:ln>
          </spPr>
          <marker>
            <symbol val="star"/>
            <size val="6"/>
            <spPr>
              <a:noFill/>
              <a:ln w="3175">
                <a:solidFill>
                  <a:schemeClr val="accent2"/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0">
                <v>21</v>
              </pt>
              <pt idx="1">
                <v>29</v>
              </pt>
              <pt idx="2">
                <v>23</v>
              </pt>
              <pt idx="7">
                <v>21</v>
              </pt>
              <pt idx="8">
                <v>20</v>
              </pt>
              <pt idx="9">
                <v>20</v>
              </pt>
              <pt idx="10">
                <v>20</v>
              </pt>
              <pt idx="11">
                <v>20</v>
              </pt>
              <pt idx="12">
                <v>20</v>
              </pt>
            </numLit>
          </val>
          <smooth val="0"/>
        </ser>
        <ser>
          <idx val="14"/>
          <order val="14"/>
          <tx>
            <v>Drift (S)y</v>
          </tx>
          <spPr>
            <a:ln w="3175" cap="rnd">
              <a:solidFill>
                <a:srgbClr val="002060"/>
              </a:solidFill>
              <a:prstDash val="solid"/>
              <a:round/>
            </a:ln>
          </spPr>
          <marker>
            <symbol val="circle"/>
            <size val="6"/>
            <spPr>
              <a:noFill/>
              <a:ln w="3175">
                <a:solidFill>
                  <a:srgbClr val="002060"/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0">
                <v>48</v>
              </pt>
              <pt idx="1">
                <v>43</v>
              </pt>
              <pt idx="2">
                <v>29</v>
              </pt>
              <pt idx="3">
                <v>52</v>
              </pt>
              <pt idx="4">
                <v>53</v>
              </pt>
              <pt idx="5">
                <v>77</v>
              </pt>
              <pt idx="6">
                <v>92</v>
              </pt>
              <pt idx="7">
                <v>49</v>
              </pt>
              <pt idx="8">
                <v>48</v>
              </pt>
              <pt idx="9">
                <v>48</v>
              </pt>
              <pt idx="10">
                <v>47</v>
              </pt>
              <pt idx="11">
                <v>47</v>
              </pt>
              <pt idx="12">
                <v>47</v>
              </pt>
            </numLit>
          </val>
          <smooth val="0"/>
        </ser>
        <ser>
          <idx val="15"/>
          <order val="15"/>
          <tx>
            <v>Braced (S)y</v>
          </tx>
          <spPr>
            <a:ln w="3175" cap="rnd">
              <a:solidFill>
                <a:schemeClr val="accent4"/>
              </a:solidFill>
              <a:prstDash val="solid"/>
              <a:round/>
            </a:ln>
          </spPr>
          <marker>
            <symbol val="plus"/>
            <size val="6"/>
            <spPr>
              <a:noFill/>
              <a:ln w="3175">
                <a:solidFill>
                  <a:schemeClr val="accent4"/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3">
                <v>19</v>
              </pt>
              <pt idx="4">
                <v>20</v>
              </pt>
              <pt idx="5">
                <v>18</v>
              </pt>
              <pt idx="6">
                <v>28</v>
              </pt>
            </numLit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100258112"/>
        <axId val="1100274432"/>
      </lineChart>
      <catAx>
        <axId val="1100258112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800" b="0" i="0" strike="noStrike" kern="1200" cap="all" spc="12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100274432"/>
        <crosses val="autoZero"/>
        <auto val="1"/>
        <lblAlgn val="ctr"/>
        <lblOffset val="100"/>
        <noMultiLvlLbl val="0"/>
      </catAx>
      <valAx>
        <axId val="1100274432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100258112"/>
        <crosses val="autoZero"/>
        <crossBetween val="between"/>
      </valAx>
    </plotArea>
    <legend>
      <legendPos val="t"/>
      <layout>
        <manualLayout>
          <xMode val="edge"/>
          <yMode val="edge"/>
          <wMode val="factor"/>
          <hMode val="factor"/>
          <x val="0.01898190457255797"/>
          <y val="0.9266159231512623"/>
          <w val="0.9641628335228625"/>
          <h val="0.05592322251075706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600" b="0" i="0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7996452398113428"/>
          <y val="0.02622824926666922"/>
          <w val="0.915158977107344"/>
          <h val="0.6953300009988597"/>
        </manualLayout>
      </layout>
      <lineChart>
        <grouping val="standard"/>
        <varyColors val="0"/>
        <ser>
          <idx val="0"/>
          <order val="0"/>
          <tx>
            <v>Shear (U)x</v>
          </tx>
          <spPr>
            <a:ln w="3175" cap="rnd">
              <a:solidFill>
                <a:srgbClr val="0070C0"/>
              </a:solidFill>
              <a:prstDash val="solid"/>
              <a:round/>
            </a:ln>
          </spPr>
          <marker>
            <symbol val="diamond"/>
            <size val="6"/>
            <spPr>
              <a:noFill/>
              <a:ln w="3175">
                <a:solidFill>
                  <a:srgbClr val="0070C0"/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0">
                <v>11</v>
              </pt>
              <pt idx="1">
                <v>11</v>
              </pt>
              <pt idx="2">
                <v>10</v>
              </pt>
              <pt idx="3">
                <v>11</v>
              </pt>
              <pt idx="4">
                <v>11</v>
              </pt>
              <pt idx="5">
                <v>11</v>
              </pt>
              <pt idx="6">
                <v>11</v>
              </pt>
              <pt idx="7">
                <v>99</v>
              </pt>
              <pt idx="8">
                <v>99</v>
              </pt>
            </numLit>
          </val>
          <smooth val="0"/>
        </ser>
        <ser>
          <idx val="1"/>
          <order val="1"/>
          <tx>
            <v>Moment (U)x</v>
          </tx>
          <spPr>
            <a:ln w="3175" cap="rnd">
              <a:solidFill>
                <a:schemeClr val="accent2"/>
              </a:solidFill>
              <a:prstDash val="solid"/>
              <a:round/>
            </a:ln>
          </spPr>
          <marker>
            <symbol val="square"/>
            <size val="6"/>
            <spPr>
              <a:noFill/>
              <a:ln w="3175">
                <a:solidFill>
                  <a:schemeClr val="accent2"/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0">
                <v>23</v>
              </pt>
              <pt idx="1">
                <v>23</v>
              </pt>
              <pt idx="2">
                <v>22</v>
              </pt>
              <pt idx="3">
                <v>22</v>
              </pt>
              <pt idx="4">
                <v>22</v>
              </pt>
              <pt idx="5">
                <v>22</v>
              </pt>
              <pt idx="6">
                <v>23</v>
              </pt>
              <pt idx="7">
                <v>34</v>
              </pt>
              <pt idx="8">
                <v>100</v>
              </pt>
            </numLit>
          </val>
          <smooth val="0"/>
        </ser>
        <ser>
          <idx val="2"/>
          <order val="2"/>
          <tx>
            <v>Drift (U)x</v>
          </tx>
          <spPr>
            <a:ln w="3175" cap="rnd">
              <a:solidFill>
                <a:schemeClr val="accent6">
                  <a:lumMod val="50000"/>
                </a:schemeClr>
              </a:solidFill>
              <a:prstDash val="solid"/>
              <a:round/>
            </a:ln>
          </spPr>
          <marker>
            <symbol val="triangle"/>
            <size val="6"/>
            <spPr>
              <a:noFill/>
              <a:ln w="3175">
                <a:solidFill>
                  <a:schemeClr val="accent6">
                    <a:lumMod val="50000"/>
                  </a:schemeClr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0">
                <v>99</v>
              </pt>
              <pt idx="1">
                <v>99</v>
              </pt>
              <pt idx="2">
                <v>97</v>
              </pt>
              <pt idx="3">
                <v>96</v>
              </pt>
              <pt idx="4">
                <v>95</v>
              </pt>
              <pt idx="5">
                <v>97</v>
              </pt>
              <pt idx="6">
                <v>100</v>
              </pt>
              <pt idx="7">
                <v>43</v>
              </pt>
              <pt idx="8">
                <v>43</v>
              </pt>
              <pt idx="9">
                <v>42</v>
              </pt>
              <pt idx="10">
                <v>43</v>
              </pt>
              <pt idx="11">
                <v>62</v>
              </pt>
              <pt idx="12">
                <v>75</v>
              </pt>
            </numLit>
          </val>
          <smooth val="0"/>
        </ser>
        <ser>
          <idx val="3"/>
          <order val="3"/>
          <tx>
            <v>Braced (U)x</v>
          </tx>
          <spPr>
            <a:ln w="3175" cap="rnd">
              <a:solidFill>
                <a:srgbClr val="00B0F0"/>
              </a:solidFill>
              <a:prstDash val="solid"/>
              <a:round/>
            </a:ln>
          </spPr>
          <marker>
            <symbol val="x"/>
            <size val="6"/>
            <spPr>
              <a:noFill/>
              <a:ln w="3175">
                <a:solidFill>
                  <a:srgbClr val="00B0F0"/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9">
                <v>92</v>
              </pt>
              <pt idx="10">
                <v>97</v>
              </pt>
              <pt idx="11">
                <v>85</v>
              </pt>
              <pt idx="12">
                <v>51</v>
              </pt>
            </numLit>
          </val>
          <smooth val="0"/>
        </ser>
        <ser>
          <idx val="4"/>
          <order val="4"/>
          <tx>
            <v>Shear (S)x</v>
          </tx>
          <spPr>
            <a:ln w="3175" cap="rnd">
              <a:solidFill>
                <a:schemeClr val="accent5"/>
              </a:solidFill>
              <a:prstDash val="solid"/>
              <a:round/>
            </a:ln>
          </spPr>
          <marker>
            <symbol val="star"/>
            <size val="6"/>
            <spPr>
              <a:noFill/>
              <a:ln w="3175">
                <a:solidFill>
                  <a:schemeClr val="accent5"/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0">
                <v>7</v>
              </pt>
              <pt idx="1">
                <v>7</v>
              </pt>
              <pt idx="2">
                <v>7</v>
              </pt>
              <pt idx="3">
                <v>7</v>
              </pt>
              <pt idx="4">
                <v>7</v>
              </pt>
              <pt idx="5">
                <v>7</v>
              </pt>
              <pt idx="6">
                <v>7</v>
              </pt>
              <pt idx="7">
                <v>29</v>
              </pt>
              <pt idx="8">
                <v>55</v>
              </pt>
            </numLit>
          </val>
          <smooth val="0"/>
        </ser>
        <ser>
          <idx val="5"/>
          <order val="5"/>
          <tx>
            <v>Moment (S)x</v>
          </tx>
          <spPr>
            <a:ln w="3175" cap="rnd">
              <a:solidFill>
                <a:schemeClr val="accent3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6"/>
            <spPr>
              <a:noFill/>
              <a:ln w="3175">
                <a:solidFill>
                  <a:schemeClr val="accent3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0">
                <v>21</v>
              </pt>
              <pt idx="1">
                <v>21</v>
              </pt>
              <pt idx="2">
                <v>20</v>
              </pt>
              <pt idx="3">
                <v>19</v>
              </pt>
              <pt idx="4">
                <v>19</v>
              </pt>
              <pt idx="5">
                <v>19</v>
              </pt>
              <pt idx="6">
                <v>20</v>
              </pt>
              <pt idx="7">
                <v>19</v>
              </pt>
              <pt idx="8">
                <v>47</v>
              </pt>
            </numLit>
          </val>
          <smooth val="0"/>
        </ser>
        <ser>
          <idx val="6"/>
          <order val="6"/>
          <tx>
            <v>Drift (S)x</v>
          </tx>
          <spPr>
            <a:ln w="3175" cap="rnd">
              <a:solidFill>
                <a:srgbClr val="002060"/>
              </a:solidFill>
              <a:prstDash val="solid"/>
              <a:round/>
            </a:ln>
          </spPr>
          <marker>
            <symbol val="plus"/>
            <size val="6"/>
            <spPr>
              <a:noFill/>
              <a:ln w="3175">
                <a:solidFill>
                  <a:srgbClr val="002060"/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0">
                <v>48</v>
              </pt>
              <pt idx="1">
                <v>49</v>
              </pt>
              <pt idx="2">
                <v>47</v>
              </pt>
              <pt idx="3">
                <v>46</v>
              </pt>
              <pt idx="4">
                <v>45</v>
              </pt>
              <pt idx="5">
                <v>46</v>
              </pt>
              <pt idx="6">
                <v>48</v>
              </pt>
              <pt idx="7">
                <v>31</v>
              </pt>
              <pt idx="8">
                <v>54</v>
              </pt>
              <pt idx="9">
                <v>51</v>
              </pt>
              <pt idx="10">
                <v>51</v>
              </pt>
              <pt idx="11">
                <v>75</v>
              </pt>
              <pt idx="12">
                <v>89</v>
              </pt>
            </numLit>
          </val>
          <smooth val="0"/>
        </ser>
        <ser>
          <idx val="7"/>
          <order val="7"/>
          <tx>
            <v>Braced (S)x</v>
          </tx>
          <spPr>
            <a:ln w="3175" cap="rnd">
              <a:solidFill>
                <a:schemeClr val="accent2">
                  <a:lumMod val="50000"/>
                </a:schemeClr>
              </a:solidFill>
              <a:prstDash val="solid"/>
              <a:round/>
            </a:ln>
          </spPr>
          <marker>
            <symbol val="dot"/>
            <size val="6"/>
            <spPr>
              <a:solidFill>
                <a:schemeClr val="accent2">
                  <a:lumMod val="60000"/>
                </a:schemeClr>
              </a:solidFill>
              <a:ln w="3175">
                <a:solidFill>
                  <a:schemeClr val="accent2">
                    <a:lumMod val="50000"/>
                  </a:schemeClr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9">
                <v>18</v>
              </pt>
              <pt idx="10">
                <v>19</v>
              </pt>
              <pt idx="11">
                <v>17</v>
              </pt>
              <pt idx="12">
                <v>27</v>
              </pt>
            </numLit>
          </val>
          <smooth val="0"/>
        </ser>
        <ser>
          <idx val="8"/>
          <order val="8"/>
          <tx>
            <v>Shear (U)y</v>
          </tx>
          <spPr>
            <a:ln w="3175" cap="rnd">
              <a:solidFill>
                <a:schemeClr val="tx1"/>
              </a:solidFill>
              <a:prstDash val="solid"/>
              <a:round/>
            </a:ln>
          </spPr>
          <marker>
            <symbol val="dash"/>
            <size val="6"/>
            <spPr>
              <a:solidFill>
                <a:schemeClr val="accent3">
                  <a:lumMod val="60000"/>
                </a:schemeClr>
              </a:solidFill>
              <a:ln w="3175">
                <a:solidFill>
                  <a:schemeClr val="accent3">
                    <a:lumMod val="60000"/>
                  </a:schemeClr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0">
                <v>12</v>
              </pt>
              <pt idx="1">
                <v>68</v>
              </pt>
              <pt idx="2">
                <v>51</v>
              </pt>
              <pt idx="7">
                <v>11</v>
              </pt>
              <pt idx="8">
                <v>11</v>
              </pt>
              <pt idx="9">
                <v>11</v>
              </pt>
              <pt idx="10">
                <v>11</v>
              </pt>
              <pt idx="11">
                <v>11</v>
              </pt>
              <pt idx="12">
                <v>11</v>
              </pt>
            </numLit>
          </val>
          <smooth val="0"/>
        </ser>
        <ser>
          <idx val="9"/>
          <order val="9"/>
          <tx>
            <v>Moment (U)y</v>
          </tx>
          <spPr>
            <a:ln w="3175" cap="rnd">
              <a:solidFill>
                <a:schemeClr val="accent1"/>
              </a:solidFill>
              <a:prstDash val="solid"/>
              <a:round/>
            </a:ln>
          </spPr>
          <marker>
            <symbol val="diamond"/>
            <size val="6"/>
            <spPr>
              <a:noFill/>
              <a:ln w="3175">
                <a:solidFill>
                  <a:schemeClr val="accent1"/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0">
                <v>23</v>
              </pt>
              <pt idx="1">
                <v>95</v>
              </pt>
              <pt idx="2">
                <v>65</v>
              </pt>
              <pt idx="7">
                <v>23</v>
              </pt>
              <pt idx="8">
                <v>23</v>
              </pt>
              <pt idx="9">
                <v>23</v>
              </pt>
              <pt idx="10">
                <v>23</v>
              </pt>
              <pt idx="11">
                <v>23</v>
              </pt>
              <pt idx="12">
                <v>23</v>
              </pt>
            </numLit>
          </val>
          <smooth val="0"/>
        </ser>
        <ser>
          <idx val="10"/>
          <order val="10"/>
          <tx>
            <v>Drift (U)y</v>
          </tx>
          <spPr>
            <a:ln w="3175" cap="rnd">
              <a:solidFill>
                <a:schemeClr val="accent5">
                  <a:lumMod val="75000"/>
                </a:schemeClr>
              </a:solidFill>
              <a:prstDash val="solid"/>
              <a:round/>
            </a:ln>
          </spPr>
          <marker>
            <symbol val="square"/>
            <size val="6"/>
            <spPr>
              <a:noFill/>
              <a:ln w="3175">
                <a:solidFill>
                  <a:schemeClr val="accent5">
                    <a:lumMod val="75000"/>
                  </a:schemeClr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0">
                <v>100</v>
              </pt>
              <pt idx="1">
                <v>73</v>
              </pt>
              <pt idx="2">
                <v>23</v>
              </pt>
              <pt idx="3">
                <v>43</v>
              </pt>
              <pt idx="4">
                <v>44</v>
              </pt>
              <pt idx="5">
                <v>64</v>
              </pt>
              <pt idx="6">
                <v>78</v>
              </pt>
              <pt idx="7">
                <v>100</v>
              </pt>
              <pt idx="8">
                <v>100</v>
              </pt>
              <pt idx="9">
                <v>100</v>
              </pt>
              <pt idx="10">
                <v>100</v>
              </pt>
              <pt idx="11">
                <v>99</v>
              </pt>
              <pt idx="12">
                <v>100</v>
              </pt>
            </numLit>
          </val>
          <smooth val="0"/>
        </ser>
        <ser>
          <idx val="11"/>
          <order val="11"/>
          <tx>
            <v>Braced (U)y</v>
          </tx>
          <spPr>
            <a:ln w="3175" cap="rnd">
              <a:solidFill>
                <a:schemeClr val="accent2">
                  <a:lumMod val="75000"/>
                </a:schemeClr>
              </a:solidFill>
              <a:prstDash val="solid"/>
              <a:round/>
            </a:ln>
          </spPr>
          <marker>
            <symbol val="triangle"/>
            <size val="6"/>
            <spPr>
              <a:noFill/>
              <a:ln w="3175">
                <a:solidFill>
                  <a:schemeClr val="accent2">
                    <a:lumMod val="75000"/>
                  </a:schemeClr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3">
                <v>95</v>
              </pt>
              <pt idx="4">
                <v>100</v>
              </pt>
              <pt idx="5">
                <v>88</v>
              </pt>
              <pt idx="6">
                <v>53</v>
              </pt>
            </numLit>
          </val>
          <smooth val="0"/>
        </ser>
        <ser>
          <idx val="12"/>
          <order val="12"/>
          <tx>
            <v>Shear (S)y</v>
          </tx>
          <spPr>
            <a:ln w="3175" cap="rnd">
              <a:solidFill>
                <a:schemeClr val="accent1">
                  <a:lumMod val="75000"/>
                </a:schemeClr>
              </a:solidFill>
              <a:prstDash val="solid"/>
              <a:round/>
            </a:ln>
          </spPr>
          <marker>
            <symbol val="x"/>
            <size val="6"/>
            <spPr>
              <a:noFill/>
              <a:ln w="3175">
                <a:solidFill>
                  <a:schemeClr val="accent1">
                    <a:lumMod val="75000"/>
                  </a:schemeClr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0">
                <v>7</v>
              </pt>
              <pt idx="1">
                <v>27</v>
              </pt>
              <pt idx="2">
                <v>29</v>
              </pt>
              <pt idx="7">
                <v>7</v>
              </pt>
              <pt idx="8">
                <v>7</v>
              </pt>
              <pt idx="9">
                <v>7</v>
              </pt>
              <pt idx="10">
                <v>7</v>
              </pt>
              <pt idx="11">
                <v>7</v>
              </pt>
              <pt idx="12">
                <v>7</v>
              </pt>
            </numLit>
          </val>
          <smooth val="0"/>
        </ser>
        <ser>
          <idx val="13"/>
          <order val="13"/>
          <tx>
            <v>Moment (S)y</v>
          </tx>
          <spPr>
            <a:ln w="3175" cap="rnd">
              <a:solidFill>
                <a:schemeClr val="accent2"/>
              </a:solidFill>
              <a:prstDash val="solid"/>
              <a:round/>
            </a:ln>
          </spPr>
          <marker>
            <symbol val="star"/>
            <size val="6"/>
            <spPr>
              <a:noFill/>
              <a:ln w="3175">
                <a:solidFill>
                  <a:schemeClr val="accent2"/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0">
                <v>21</v>
              </pt>
              <pt idx="1">
                <v>29</v>
              </pt>
              <pt idx="2">
                <v>23</v>
              </pt>
              <pt idx="7">
                <v>21</v>
              </pt>
              <pt idx="8">
                <v>20</v>
              </pt>
              <pt idx="9">
                <v>20</v>
              </pt>
              <pt idx="10">
                <v>20</v>
              </pt>
              <pt idx="11">
                <v>20</v>
              </pt>
              <pt idx="12">
                <v>20</v>
              </pt>
            </numLit>
          </val>
          <smooth val="0"/>
        </ser>
        <ser>
          <idx val="14"/>
          <order val="14"/>
          <tx>
            <v>Drift (S)y</v>
          </tx>
          <spPr>
            <a:ln w="3175" cap="rnd">
              <a:solidFill>
                <a:srgbClr val="002060"/>
              </a:solidFill>
              <a:prstDash val="solid"/>
              <a:round/>
            </a:ln>
          </spPr>
          <marker>
            <symbol val="circle"/>
            <size val="6"/>
            <spPr>
              <a:noFill/>
              <a:ln w="3175">
                <a:solidFill>
                  <a:srgbClr val="002060"/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0">
                <v>48</v>
              </pt>
              <pt idx="1">
                <v>43</v>
              </pt>
              <pt idx="2">
                <v>29</v>
              </pt>
              <pt idx="3">
                <v>52</v>
              </pt>
              <pt idx="4">
                <v>53</v>
              </pt>
              <pt idx="5">
                <v>77</v>
              </pt>
              <pt idx="6">
                <v>92</v>
              </pt>
              <pt idx="7">
                <v>49</v>
              </pt>
              <pt idx="8">
                <v>48</v>
              </pt>
              <pt idx="9">
                <v>48</v>
              </pt>
              <pt idx="10">
                <v>47</v>
              </pt>
              <pt idx="11">
                <v>47</v>
              </pt>
              <pt idx="12">
                <v>47</v>
              </pt>
            </numLit>
          </val>
          <smooth val="0"/>
        </ser>
        <ser>
          <idx val="15"/>
          <order val="15"/>
          <tx>
            <v>Braced (S)y</v>
          </tx>
          <spPr>
            <a:ln w="3175" cap="rnd">
              <a:solidFill>
                <a:schemeClr val="accent4"/>
              </a:solidFill>
              <a:prstDash val="solid"/>
              <a:round/>
            </a:ln>
          </spPr>
          <marker>
            <symbol val="plus"/>
            <size val="6"/>
            <spPr>
              <a:noFill/>
              <a:ln w="3175">
                <a:solidFill>
                  <a:schemeClr val="accent4"/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3">
                <v>19</v>
              </pt>
              <pt idx="4">
                <v>20</v>
              </pt>
              <pt idx="5">
                <v>18</v>
              </pt>
              <pt idx="6">
                <v>28</v>
              </pt>
            </numLit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100258112"/>
        <axId val="1100274432"/>
      </lineChart>
      <catAx>
        <axId val="1100258112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800" b="0" i="0" strike="noStrike" kern="1200" cap="all" spc="12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100274432"/>
        <crosses val="autoZero"/>
        <auto val="1"/>
        <lblAlgn val="ctr"/>
        <lblOffset val="100"/>
        <noMultiLvlLbl val="0"/>
      </catAx>
      <valAx>
        <axId val="1100274432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100258112"/>
        <crosses val="autoZero"/>
        <crossBetween val="between"/>
      </valAx>
    </plotArea>
    <legend>
      <legendPos val="t"/>
      <layout>
        <manualLayout>
          <xMode val="edge"/>
          <yMode val="edge"/>
          <wMode val="factor"/>
          <hMode val="factor"/>
          <x val="0.01898190457255797"/>
          <y val="0.9266159231512623"/>
          <w val="0.9641628335228625"/>
          <h val="0.05592322251075706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600" b="0" i="0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ID"/>
              <a:t>Nilai Kekuatan Sistem</a:t>
            </a:r>
            <a:r>
              <a:rPr lang="en-ID" baseline="0"/>
              <a:t xml:space="preserve"> Struktur pada Keadaan PGA 0.4</a:t>
            </a:r>
            <a:endParaRPr lang="en-ID"/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05997804568091122"/>
          <y val="0.1301248001439373"/>
          <w val="0.9115337680050464"/>
          <h val="0.5689314745641062"/>
        </manualLayout>
      </layout>
      <lineChart>
        <grouping val="standard"/>
        <varyColors val="0"/>
        <ser>
          <idx val="0"/>
          <order val="0"/>
          <tx>
            <strRef>
              <f>'PGA 0,4'!$B$10</f>
              <strCache>
                <ptCount val="1"/>
                <pt idx="0">
                  <v>0.4 BFCOST-BFCOST</v>
                </pt>
              </strCache>
            </strRef>
          </tx>
          <spPr>
            <a:ln w="38100">
              <a:noFill/>
              <a:prstDash val="solid"/>
            </a:ln>
          </spPr>
          <marker>
            <symbol val="circle"/>
            <size val="5"/>
            <spPr>
              <a:solidFill>
                <a:srgbClr val="156082"/>
              </a:solidFill>
              <a:ln w="12700">
                <a:noFill/>
                <a:prstDash val="solid"/>
              </a:ln>
            </spPr>
          </marker>
          <cat>
            <strRef>
              <f>'PGA 0,4'!$M$9:$AB$9</f>
              <strCache>
                <ptCount val="16"/>
                <pt idx="0">
                  <v>Shear (U)x</v>
                </pt>
                <pt idx="1">
                  <v>Moment (U)x</v>
                </pt>
                <pt idx="2">
                  <v>Drift (U)x</v>
                </pt>
                <pt idx="3">
                  <v>Braced (U)x</v>
                </pt>
                <pt idx="4">
                  <v>Shear (S)x</v>
                </pt>
                <pt idx="5">
                  <v>Moment (S)x</v>
                </pt>
                <pt idx="6">
                  <v>Drift (S)x</v>
                </pt>
                <pt idx="7">
                  <v>Braced (S)x</v>
                </pt>
                <pt idx="8">
                  <v>Shear (U)y</v>
                </pt>
                <pt idx="9">
                  <v>Moment (U)y</v>
                </pt>
                <pt idx="10">
                  <v>Drift (U)y</v>
                </pt>
                <pt idx="11">
                  <v>Braced (U)y</v>
                </pt>
                <pt idx="12">
                  <v>Shear (S)y</v>
                </pt>
                <pt idx="13">
                  <v>Moment (S)y</v>
                </pt>
                <pt idx="14">
                  <v>Drift (S)y</v>
                </pt>
                <pt idx="15">
                  <v>Braced (S)y</v>
                </pt>
              </strCache>
            </strRef>
          </cat>
          <val>
            <numRef>
              <f>'PGA 0,4'!$M$10:$AB$10</f>
              <numCache>
                <formatCode>General</formatCode>
                <ptCount val="16"/>
              </numCache>
            </numRef>
          </val>
          <smooth val="0"/>
        </ser>
        <ser>
          <idx val="1"/>
          <order val="1"/>
          <tx>
            <strRef>
              <f>'PGA 0,4'!$B$11</f>
              <strCache>
                <ptCount val="1"/>
                <pt idx="0">
                  <v>0.4 BFCTST-BFCTST</v>
                </pt>
              </strCache>
            </strRef>
          </tx>
          <spPr>
            <a:ln w="38100">
              <a:noFill/>
              <a:prstDash val="solid"/>
            </a:ln>
          </spPr>
          <marker>
            <symbol val="circle"/>
            <size val="5"/>
            <spPr>
              <a:solidFill>
                <a:srgbClr val="156082"/>
              </a:solidFill>
              <a:ln w="12700">
                <a:noFill/>
                <a:prstDash val="solid"/>
              </a:ln>
            </spPr>
          </marker>
          <cat>
            <strRef>
              <f>'PGA 0,4'!$M$9:$AB$9</f>
              <strCache>
                <ptCount val="16"/>
                <pt idx="0">
                  <v>Shear (U)x</v>
                </pt>
                <pt idx="1">
                  <v>Moment (U)x</v>
                </pt>
                <pt idx="2">
                  <v>Drift (U)x</v>
                </pt>
                <pt idx="3">
                  <v>Braced (U)x</v>
                </pt>
                <pt idx="4">
                  <v>Shear (S)x</v>
                </pt>
                <pt idx="5">
                  <v>Moment (S)x</v>
                </pt>
                <pt idx="6">
                  <v>Drift (S)x</v>
                </pt>
                <pt idx="7">
                  <v>Braced (S)x</v>
                </pt>
                <pt idx="8">
                  <v>Shear (U)y</v>
                </pt>
                <pt idx="9">
                  <v>Moment (U)y</v>
                </pt>
                <pt idx="10">
                  <v>Drift (U)y</v>
                </pt>
                <pt idx="11">
                  <v>Braced (U)y</v>
                </pt>
                <pt idx="12">
                  <v>Shear (S)y</v>
                </pt>
                <pt idx="13">
                  <v>Moment (S)y</v>
                </pt>
                <pt idx="14">
                  <v>Drift (S)y</v>
                </pt>
                <pt idx="15">
                  <v>Braced (S)y</v>
                </pt>
              </strCache>
            </strRef>
          </cat>
          <val>
            <numRef>
              <f>'PGA 0,4'!$M$11:$AB$11</f>
              <numCache>
                <formatCode>General</formatCode>
                <ptCount val="16"/>
              </numCache>
            </numRef>
          </val>
          <smooth val="0"/>
        </ser>
        <ser>
          <idx val="2"/>
          <order val="2"/>
          <tx>
            <strRef>
              <f>'PGA 0,4'!$B$12</f>
              <strCache>
                <ptCount val="1"/>
                <pt idx="0">
                  <v>0.4 BFECST-BFECST</v>
                </pt>
              </strCache>
            </strRef>
          </tx>
          <spPr>
            <a:ln w="38100">
              <a:noFill/>
              <a:prstDash val="solid"/>
            </a:ln>
          </spPr>
          <marker>
            <symbol val="circle"/>
            <size val="5"/>
            <spPr>
              <a:solidFill>
                <a:srgbClr val="196B24"/>
              </a:solidFill>
              <a:ln w="12700">
                <a:noFill/>
                <a:prstDash val="solid"/>
              </a:ln>
            </spPr>
          </marker>
          <cat>
            <strRef>
              <f>'PGA 0,4'!$M$9:$AB$9</f>
              <strCache>
                <ptCount val="16"/>
                <pt idx="0">
                  <v>Shear (U)x</v>
                </pt>
                <pt idx="1">
                  <v>Moment (U)x</v>
                </pt>
                <pt idx="2">
                  <v>Drift (U)x</v>
                </pt>
                <pt idx="3">
                  <v>Braced (U)x</v>
                </pt>
                <pt idx="4">
                  <v>Shear (S)x</v>
                </pt>
                <pt idx="5">
                  <v>Moment (S)x</v>
                </pt>
                <pt idx="6">
                  <v>Drift (S)x</v>
                </pt>
                <pt idx="7">
                  <v>Braced (S)x</v>
                </pt>
                <pt idx="8">
                  <v>Shear (U)y</v>
                </pt>
                <pt idx="9">
                  <v>Moment (U)y</v>
                </pt>
                <pt idx="10">
                  <v>Drift (U)y</v>
                </pt>
                <pt idx="11">
                  <v>Braced (U)y</v>
                </pt>
                <pt idx="12">
                  <v>Shear (S)y</v>
                </pt>
                <pt idx="13">
                  <v>Moment (S)y</v>
                </pt>
                <pt idx="14">
                  <v>Drift (S)y</v>
                </pt>
                <pt idx="15">
                  <v>Braced (S)y</v>
                </pt>
              </strCache>
            </strRef>
          </cat>
          <val>
            <numRef>
              <f>'PGA 0,4'!$M$12:$AB$12</f>
              <numCache>
                <formatCode>General</formatCode>
                <ptCount val="16"/>
              </numCache>
            </numRef>
          </val>
          <smooth val="0"/>
        </ser>
        <ser>
          <idx val="3"/>
          <order val="3"/>
          <tx>
            <strRef>
              <f>'PGA 0,4'!$B$13</f>
              <strCache>
                <ptCount val="1"/>
                <pt idx="0">
                  <v>0.4 BFCOST-BFCTST</v>
                </pt>
              </strCache>
            </strRef>
          </tx>
          <spPr>
            <a:ln w="38100">
              <a:noFill/>
              <a:prstDash val="solid"/>
            </a:ln>
          </spPr>
          <marker>
            <symbol val="circle"/>
            <size val="5"/>
            <spPr>
              <a:solidFill>
                <a:srgbClr val="196B24"/>
              </a:solidFill>
              <a:ln w="12700">
                <a:noFill/>
                <a:prstDash val="solid"/>
              </a:ln>
            </spPr>
          </marker>
          <cat>
            <strRef>
              <f>'PGA 0,4'!$M$9:$AB$9</f>
              <strCache>
                <ptCount val="16"/>
                <pt idx="0">
                  <v>Shear (U)x</v>
                </pt>
                <pt idx="1">
                  <v>Moment (U)x</v>
                </pt>
                <pt idx="2">
                  <v>Drift (U)x</v>
                </pt>
                <pt idx="3">
                  <v>Braced (U)x</v>
                </pt>
                <pt idx="4">
                  <v>Shear (S)x</v>
                </pt>
                <pt idx="5">
                  <v>Moment (S)x</v>
                </pt>
                <pt idx="6">
                  <v>Drift (S)x</v>
                </pt>
                <pt idx="7">
                  <v>Braced (S)x</v>
                </pt>
                <pt idx="8">
                  <v>Shear (U)y</v>
                </pt>
                <pt idx="9">
                  <v>Moment (U)y</v>
                </pt>
                <pt idx="10">
                  <v>Drift (U)y</v>
                </pt>
                <pt idx="11">
                  <v>Braced (U)y</v>
                </pt>
                <pt idx="12">
                  <v>Shear (S)y</v>
                </pt>
                <pt idx="13">
                  <v>Moment (S)y</v>
                </pt>
                <pt idx="14">
                  <v>Drift (S)y</v>
                </pt>
                <pt idx="15">
                  <v>Braced (S)y</v>
                </pt>
              </strCache>
            </strRef>
          </cat>
          <val>
            <numRef>
              <f>'PGA 0,4'!$M$13:$AB$13</f>
              <numCache>
                <formatCode>General</formatCode>
                <ptCount val="16"/>
              </numCache>
            </numRef>
          </val>
          <smooth val="0"/>
        </ser>
        <ser>
          <idx val="4"/>
          <order val="4"/>
          <tx>
            <strRef>
              <f>'PGA 0,4'!$B$14</f>
              <strCache>
                <ptCount val="1"/>
                <pt idx="0">
                  <v>0.4 BFCOST-BFECST</v>
                </pt>
              </strCache>
            </strRef>
          </tx>
          <spPr>
            <a:ln w="38100">
              <a:noFill/>
              <a:prstDash val="solid"/>
            </a:ln>
          </spPr>
          <marker>
            <symbol val="circle"/>
            <size val="5"/>
            <spPr>
              <a:solidFill>
                <a:srgbClr val="0F9ED5"/>
              </a:solidFill>
              <a:ln w="12700">
                <a:noFill/>
                <a:prstDash val="solid"/>
              </a:ln>
            </spPr>
          </marker>
          <cat>
            <strRef>
              <f>'PGA 0,4'!$M$9:$AB$9</f>
              <strCache>
                <ptCount val="16"/>
                <pt idx="0">
                  <v>Shear (U)x</v>
                </pt>
                <pt idx="1">
                  <v>Moment (U)x</v>
                </pt>
                <pt idx="2">
                  <v>Drift (U)x</v>
                </pt>
                <pt idx="3">
                  <v>Braced (U)x</v>
                </pt>
                <pt idx="4">
                  <v>Shear (S)x</v>
                </pt>
                <pt idx="5">
                  <v>Moment (S)x</v>
                </pt>
                <pt idx="6">
                  <v>Drift (S)x</v>
                </pt>
                <pt idx="7">
                  <v>Braced (S)x</v>
                </pt>
                <pt idx="8">
                  <v>Shear (U)y</v>
                </pt>
                <pt idx="9">
                  <v>Moment (U)y</v>
                </pt>
                <pt idx="10">
                  <v>Drift (U)y</v>
                </pt>
                <pt idx="11">
                  <v>Braced (U)y</v>
                </pt>
                <pt idx="12">
                  <v>Shear (S)y</v>
                </pt>
                <pt idx="13">
                  <v>Moment (S)y</v>
                </pt>
                <pt idx="14">
                  <v>Drift (S)y</v>
                </pt>
                <pt idx="15">
                  <v>Braced (S)y</v>
                </pt>
              </strCache>
            </strRef>
          </cat>
          <val>
            <numRef>
              <f>'PGA 0,4'!$M$14:$AB$14</f>
              <numCache>
                <formatCode>General</formatCode>
                <ptCount val="16"/>
              </numCache>
            </numRef>
          </val>
          <smooth val="0"/>
        </ser>
        <ser>
          <idx val="5"/>
          <order val="5"/>
          <tx>
            <strRef>
              <f>'PGA 0,4'!$B$15</f>
              <strCache>
                <ptCount val="1"/>
                <pt idx="0">
                  <v>0.4 BFCTST-BFECST</v>
                </pt>
              </strCache>
            </strRef>
          </tx>
          <spPr>
            <a:ln w="38100">
              <a:noFill/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strRef>
              <f>'PGA 0,4'!$M$9:$AB$9</f>
              <strCache>
                <ptCount val="16"/>
                <pt idx="0">
                  <v>Shear (U)x</v>
                </pt>
                <pt idx="1">
                  <v>Moment (U)x</v>
                </pt>
                <pt idx="2">
                  <v>Drift (U)x</v>
                </pt>
                <pt idx="3">
                  <v>Braced (U)x</v>
                </pt>
                <pt idx="4">
                  <v>Shear (S)x</v>
                </pt>
                <pt idx="5">
                  <v>Moment (S)x</v>
                </pt>
                <pt idx="6">
                  <v>Drift (S)x</v>
                </pt>
                <pt idx="7">
                  <v>Braced (S)x</v>
                </pt>
                <pt idx="8">
                  <v>Shear (U)y</v>
                </pt>
                <pt idx="9">
                  <v>Moment (U)y</v>
                </pt>
                <pt idx="10">
                  <v>Drift (U)y</v>
                </pt>
                <pt idx="11">
                  <v>Braced (U)y</v>
                </pt>
                <pt idx="12">
                  <v>Shear (S)y</v>
                </pt>
                <pt idx="13">
                  <v>Moment (S)y</v>
                </pt>
                <pt idx="14">
                  <v>Drift (S)y</v>
                </pt>
                <pt idx="15">
                  <v>Braced (S)y</v>
                </pt>
              </strCache>
            </strRef>
          </cat>
          <val>
            <numRef>
              <f>'PGA 0,4'!$M$15:$AB$15</f>
              <numCache>
                <formatCode>General</formatCode>
                <ptCount val="16"/>
              </numCache>
            </numRef>
          </val>
          <smooth val="0"/>
        </ser>
        <ser>
          <idx val="6"/>
          <order val="6"/>
          <tx>
            <strRef>
              <f>'PGA 0,4'!$B$16</f>
              <strCache>
                <ptCount val="1"/>
                <pt idx="0">
                  <v>0.4 BFECST-BFCOST</v>
                </pt>
              </strCache>
            </strRef>
          </tx>
          <spPr>
            <a:ln w="38100">
              <a:noFill/>
              <a:prstDash val="solid"/>
            </a:ln>
          </spPr>
          <marker>
            <symbol val="circle"/>
            <size val="5"/>
            <spPr>
              <a:solidFill>
                <a:schemeClr val="accent1">
                  <a:lumMod val="60000"/>
                </a:schemeClr>
              </a:solidFill>
              <a:ln w="9525">
                <a:noFill/>
                <a:prstDash val="solid"/>
              </a:ln>
            </spPr>
          </marker>
          <cat>
            <strRef>
              <f>'PGA 0,4'!$M$9:$AB$9</f>
              <strCache>
                <ptCount val="16"/>
                <pt idx="0">
                  <v>Shear (U)x</v>
                </pt>
                <pt idx="1">
                  <v>Moment (U)x</v>
                </pt>
                <pt idx="2">
                  <v>Drift (U)x</v>
                </pt>
                <pt idx="3">
                  <v>Braced (U)x</v>
                </pt>
                <pt idx="4">
                  <v>Shear (S)x</v>
                </pt>
                <pt idx="5">
                  <v>Moment (S)x</v>
                </pt>
                <pt idx="6">
                  <v>Drift (S)x</v>
                </pt>
                <pt idx="7">
                  <v>Braced (S)x</v>
                </pt>
                <pt idx="8">
                  <v>Shear (U)y</v>
                </pt>
                <pt idx="9">
                  <v>Moment (U)y</v>
                </pt>
                <pt idx="10">
                  <v>Drift (U)y</v>
                </pt>
                <pt idx="11">
                  <v>Braced (U)y</v>
                </pt>
                <pt idx="12">
                  <v>Shear (S)y</v>
                </pt>
                <pt idx="13">
                  <v>Moment (S)y</v>
                </pt>
                <pt idx="14">
                  <v>Drift (S)y</v>
                </pt>
                <pt idx="15">
                  <v>Braced (S)y</v>
                </pt>
              </strCache>
            </strRef>
          </cat>
          <val>
            <numRef>
              <f>'PGA 0,4'!$M$16:$AB$16</f>
              <numCache>
                <formatCode>General</formatCode>
                <ptCount val="16"/>
              </numCache>
            </numRef>
          </val>
          <smooth val="0"/>
        </ser>
        <ser>
          <idx val="7"/>
          <order val="7"/>
          <tx>
            <strRef>
              <f>'PGA 0,4'!$B$17</f>
              <strCache>
                <ptCount val="1"/>
                <pt idx="0">
                  <v>0.4 BFCTST-BFCOST</v>
                </pt>
              </strCache>
            </strRef>
          </tx>
          <spPr>
            <a:ln w="38100">
              <a:noFill/>
              <a:prstDash val="solid"/>
            </a:ln>
          </spPr>
          <marker>
            <symbol val="circle"/>
            <size val="5"/>
            <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prstDash val="solid"/>
              </a:ln>
            </spPr>
          </marker>
          <cat>
            <strRef>
              <f>'PGA 0,4'!$M$9:$AB$9</f>
              <strCache>
                <ptCount val="16"/>
                <pt idx="0">
                  <v>Shear (U)x</v>
                </pt>
                <pt idx="1">
                  <v>Moment (U)x</v>
                </pt>
                <pt idx="2">
                  <v>Drift (U)x</v>
                </pt>
                <pt idx="3">
                  <v>Braced (U)x</v>
                </pt>
                <pt idx="4">
                  <v>Shear (S)x</v>
                </pt>
                <pt idx="5">
                  <v>Moment (S)x</v>
                </pt>
                <pt idx="6">
                  <v>Drift (S)x</v>
                </pt>
                <pt idx="7">
                  <v>Braced (S)x</v>
                </pt>
                <pt idx="8">
                  <v>Shear (U)y</v>
                </pt>
                <pt idx="9">
                  <v>Moment (U)y</v>
                </pt>
                <pt idx="10">
                  <v>Drift (U)y</v>
                </pt>
                <pt idx="11">
                  <v>Braced (U)y</v>
                </pt>
                <pt idx="12">
                  <v>Shear (S)y</v>
                </pt>
                <pt idx="13">
                  <v>Moment (S)y</v>
                </pt>
                <pt idx="14">
                  <v>Drift (S)y</v>
                </pt>
                <pt idx="15">
                  <v>Braced (S)y</v>
                </pt>
              </strCache>
            </strRef>
          </cat>
          <val>
            <numRef>
              <f>'PGA 0,4'!$M$17:$AB$17</f>
              <numCache>
                <formatCode>General</formatCode>
                <ptCount val="16"/>
              </numCache>
            </numRef>
          </val>
          <smooth val="0"/>
        </ser>
        <ser>
          <idx val="8"/>
          <order val="8"/>
          <tx>
            <strRef>
              <f>'PGA 0,4'!$B$18</f>
              <strCache>
                <ptCount val="1"/>
                <pt idx="0">
                  <v>0.4 BFECST-BFCTST</v>
                </pt>
              </strCache>
            </strRef>
          </tx>
          <spPr>
            <a:ln w="38100">
              <a:noFill/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'PGA 0,4'!$M$9:$AB$9</f>
              <strCache>
                <ptCount val="16"/>
                <pt idx="0">
                  <v>Shear (U)x</v>
                </pt>
                <pt idx="1">
                  <v>Moment (U)x</v>
                </pt>
                <pt idx="2">
                  <v>Drift (U)x</v>
                </pt>
                <pt idx="3">
                  <v>Braced (U)x</v>
                </pt>
                <pt idx="4">
                  <v>Shear (S)x</v>
                </pt>
                <pt idx="5">
                  <v>Moment (S)x</v>
                </pt>
                <pt idx="6">
                  <v>Drift (S)x</v>
                </pt>
                <pt idx="7">
                  <v>Braced (S)x</v>
                </pt>
                <pt idx="8">
                  <v>Shear (U)y</v>
                </pt>
                <pt idx="9">
                  <v>Moment (U)y</v>
                </pt>
                <pt idx="10">
                  <v>Drift (U)y</v>
                </pt>
                <pt idx="11">
                  <v>Braced (U)y</v>
                </pt>
                <pt idx="12">
                  <v>Shear (S)y</v>
                </pt>
                <pt idx="13">
                  <v>Moment (S)y</v>
                </pt>
                <pt idx="14">
                  <v>Drift (S)y</v>
                </pt>
                <pt idx="15">
                  <v>Braced (S)y</v>
                </pt>
              </strCache>
            </strRef>
          </cat>
          <val>
            <numRef>
              <f>'PGA 0,4'!$M$18:$AB$18</f>
              <numCache>
                <formatCode>General</formatCode>
                <ptCount val="16"/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225702528"/>
        <axId val="1"/>
      </lineChart>
      <catAx>
        <axId val="122570252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2700000" vert="horz"/>
          <a:lstStyle/>
          <a:p>
            <a:pPr>
              <a:defRPr sz="900" b="0" i="0" strike="noStrike" baseline="0">
                <a:solidFill>
                  <a:srgbClr val="333333"/>
                </a:solidFill>
                <a:latin typeface="Aptos Narrow"/>
                <a:ea typeface="Aptos Narrow"/>
                <a:cs typeface="Aptos Narrow"/>
              </a:defRPr>
            </a:pPr>
            <a:r>
              <a:t/>
            </a:r>
            <a:endParaRPr lang="en-US"/>
          </a:p>
        </txPr>
        <crossAx val="1"/>
        <crosses val="autoZero"/>
        <auto val="1"/>
        <lblAlgn val="ctr"/>
        <lblOffset val="100"/>
        <noMultiLvlLbl val="0"/>
      </catAx>
      <valAx>
        <axId val="1"/>
        <scaling>
          <orientation val="minMax"/>
          <max val="120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ln w="12700">
            <a:noFill/>
            <a:prstDash val="solid"/>
          </a:ln>
        </spPr>
        <txPr>
          <a:bodyPr rot="0" vert="horz"/>
          <a:lstStyle/>
          <a:p>
            <a:pPr>
              <a:defRPr sz="900" b="0" i="0" strike="noStrike" baseline="0">
                <a:solidFill>
                  <a:srgbClr val="333333"/>
                </a:solidFill>
                <a:latin typeface="Aptos Narrow"/>
                <a:ea typeface="Aptos Narrow"/>
                <a:cs typeface="Aptos Narrow"/>
              </a:defRPr>
            </a:pPr>
            <a:r>
              <a:t/>
            </a:r>
            <a:endParaRPr lang="en-US"/>
          </a:p>
        </txPr>
        <crossAx val="1225702528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02782095542592813"/>
          <y val="0.8363836173231759"/>
          <w val="0.9511862283721612"/>
          <h val="0.144756921869058"/>
        </manualLayout>
      </layout>
      <overlay val="0"/>
      <spPr>
        <a:noFill/>
        <a:ln w="25400">
          <a:noFill/>
          <a:prstDash val="solid"/>
        </a:ln>
      </spPr>
      <txPr>
        <a:bodyPr/>
        <a:lstStyle/>
        <a:p>
          <a:pPr>
            <a:defRPr sz="1400" b="0" i="0" strike="noStrike" baseline="0">
              <a:solidFill>
                <a:srgbClr val="333333"/>
              </a:solidFill>
              <a:latin typeface="Aptos Narrow"/>
              <a:ea typeface="Aptos Narrow"/>
              <a:cs typeface="Aptos Narrow"/>
            </a:defRPr>
          </a:pPr>
          <a:r>
            <a:t/>
          </a:r>
          <a:endParaRPr lang="en-US"/>
        </a:p>
      </txPr>
    </legend>
    <plotVisOnly val="1"/>
    <dispBlanksAs val="zero"/>
  </chart>
  <spPr>
    <a:solidFill>
      <a:schemeClr val="bg1"/>
    </a:solidFill>
    <a:ln w="9525" cap="flat" cmpd="sng" algn="ctr">
      <a:solidFill>
        <a:schemeClr val="tx1"/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 sz="1200" b="1" i="0" strike="noStrike" baseline="0">
                <a:solidFill>
                  <a:srgbClr val="000000"/>
                </a:solidFill>
                <a:latin typeface="Aptos Narrow"/>
                <a:ea typeface="Aptos Narrow"/>
                <a:cs typeface="Aptos Narrow"/>
              </a:defRPr>
            </a:pPr>
            <a:r>
              <a:rPr lang="en-ID"/>
              <a:t>DIMENSI ELEMEN STRUKTUR LATERAL ≤ 15 CM</a:t>
            </a:r>
          </a:p>
        </rich>
      </tx>
      <overlay val="0"/>
      <spPr>
        <a:noFill/>
        <a:ln w="25400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6643445990588676"/>
          <y val="0.1007961691847534"/>
          <w val="0.9093149163538272"/>
          <h val="0.8182348513897421"/>
        </manualLayout>
      </layout>
      <scatterChart>
        <scatterStyle val="lineMarker"/>
        <varyColors val="0"/>
        <ser>
          <idx val="0"/>
          <order val="0"/>
          <tx>
            <strRef>
              <f>'PGA 0,4'!$D$5</f>
              <strCache>
                <ptCount val="1"/>
                <pt idx="0">
                  <v>PGA 0.4</v>
                </pt>
              </strCache>
            </strRef>
          </tx>
          <spPr>
            <a:ln w="38100">
              <a:noFill/>
              <a:prstDash val="solid"/>
            </a:ln>
          </spPr>
          <marker>
            <symbol val="diamond"/>
            <size val="6"/>
            <spPr>
              <a:noFill/>
              <a:ln w="9525">
                <a:solidFill>
                  <a:schemeClr val="accent1"/>
                </a:solidFill>
                <a:prstDash val="solid"/>
                <a:round/>
              </a:ln>
            </spPr>
          </marker>
          <xVal>
            <numRef>
              <f>'PGA 0,4'!$G$10:$G$18</f>
              <numCache>
                <formatCode>General</formatCode>
                <ptCount val="9"/>
              </numCache>
            </numRef>
          </xVal>
          <yVal>
            <numRef>
              <f>'PGA 0,4'!$L$10:$L$18</f>
              <numCache>
                <formatCode>General</formatCode>
                <ptCount val="9"/>
              </numCache>
            </numRef>
          </yVal>
          <smooth val="0"/>
        </ser>
        <ser>
          <idx val="1"/>
          <order val="1"/>
          <tx>
            <strRef>
              <f>'PGA 0,5'!$D$5</f>
              <strCache>
                <ptCount val="1"/>
                <pt idx="0">
                  <v>PGA 0.5</v>
                </pt>
              </strCache>
            </strRef>
          </tx>
          <spPr>
            <a:ln w="38100">
              <a:noFill/>
              <a:prstDash val="solid"/>
            </a:ln>
          </spPr>
          <marker>
            <symbol val="square"/>
            <size val="6"/>
            <spPr>
              <a:noFill/>
              <a:ln w="9525">
                <a:solidFill>
                  <a:schemeClr val="accent2"/>
                </a:solidFill>
                <a:prstDash val="solid"/>
                <a:round/>
              </a:ln>
            </spPr>
          </marker>
          <xVal>
            <numRef>
              <f>'PGA 0,5'!$G$10:$G$18</f>
              <numCache>
                <formatCode>General</formatCode>
                <ptCount val="9"/>
              </numCache>
            </numRef>
          </xVal>
          <yVal>
            <numRef>
              <f>'PGA 0,4'!$L$10:$L$18</f>
              <numCache>
                <formatCode>General</formatCode>
                <ptCount val="9"/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345076768"/>
        <axId val="1"/>
      </scatterChart>
      <valAx>
        <axId val="345076768"/>
        <scaling>
          <orientation val="minMax"/>
          <max val="15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spPr>
        <txPr>
          <a:bodyPr rot="0" vert="horz"/>
          <a:lstStyle/>
          <a:p>
            <a:pPr>
              <a:defRPr sz="900" b="0" i="0" strike="noStrike" baseline="0">
                <a:solidFill>
                  <a:srgbClr val="000000"/>
                </a:solidFill>
                <a:latin typeface="Aptos Narrow"/>
                <a:ea typeface="Aptos Narrow"/>
                <a:cs typeface="Aptos Narrow"/>
              </a:defRPr>
            </a:pPr>
            <a:r>
              <a:t/>
            </a:r>
            <a:endParaRPr lang="en-US"/>
          </a:p>
        </txPr>
        <crossAx val="1"/>
        <crosses val="autoZero"/>
        <crossBetween val="midCat"/>
        <majorUnit val="1"/>
      </valAx>
      <valAx>
        <axId val="1"/>
        <scaling>
          <orientation val="minMax"/>
          <max val="15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spPr>
        <txPr>
          <a:bodyPr rot="0" vert="horz"/>
          <a:lstStyle/>
          <a:p>
            <a:pPr>
              <a:defRPr sz="900" b="0" i="0" strike="noStrike" baseline="0">
                <a:solidFill>
                  <a:srgbClr val="000000"/>
                </a:solidFill>
                <a:latin typeface="Aptos Narrow"/>
                <a:ea typeface="Aptos Narrow"/>
                <a:cs typeface="Aptos Narrow"/>
              </a:defRPr>
            </a:pPr>
            <a:r>
              <a:t/>
            </a:r>
            <a:endParaRPr lang="en-US"/>
          </a:p>
        </txPr>
        <crossAx val="345076768"/>
        <crossesAt val="0"/>
        <crossBetween val="midCat"/>
        <majorUnit val="1"/>
      </valAx>
    </plotArea>
    <legend>
      <legendPos val="b"/>
      <layout>
        <manualLayout>
          <xMode val="edge"/>
          <yMode val="edge"/>
          <wMode val="factor"/>
          <hMode val="factor"/>
          <x val="0.3433186095640484"/>
          <y val="0.9550246118225121"/>
          <w val="0.331419445483307"/>
          <h val="0.03818676705815816"/>
        </manualLayout>
      </layout>
      <overlay val="0"/>
      <spPr>
        <a:noFill/>
        <a:ln w="25400">
          <a:noFill/>
          <a:prstDash val="solid"/>
        </a:ln>
      </spPr>
      <txPr>
        <a:bodyPr/>
        <a:lstStyle/>
        <a:p>
          <a:pPr>
            <a:defRPr sz="825" b="0" i="0" strike="noStrike" baseline="0">
              <a:solidFill>
                <a:srgbClr val="000000"/>
              </a:solidFill>
              <a:latin typeface="Aptos Narrow"/>
              <a:ea typeface="Aptos Narrow"/>
              <a:cs typeface="Aptos Narrow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lt1"/>
    </a:solidFill>
    <a:ln w="9525" cap="flat" cmpd="sng" algn="ctr">
      <a:solidFill>
        <a:sysClr val="windowText" lastClr="000000"/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ID"/>
              <a:t>Nilai Kekuatan Sistem</a:t>
            </a:r>
            <a:r>
              <a:rPr lang="en-ID" baseline="0"/>
              <a:t xml:space="preserve"> Struktur pada Keadaan PGA 0.5</a:t>
            </a:r>
            <a:endParaRPr lang="en-ID"/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05997804568091122"/>
          <y val="0.1301248001439373"/>
          <w val="0.9115337680050464"/>
          <h val="0.5689314745641062"/>
        </manualLayout>
      </layout>
      <lineChart>
        <grouping val="standard"/>
        <varyColors val="0"/>
        <ser>
          <idx val="0"/>
          <order val="0"/>
          <tx>
            <strRef>
              <f>'PGA 0,5'!$B$10</f>
              <strCache>
                <ptCount val="1"/>
                <pt idx="0">
                  <v>0.5 BFCOST-BFCOST</v>
                </pt>
              </strCache>
            </strRef>
          </tx>
          <spPr>
            <a:ln w="38100">
              <a:noFill/>
              <a:prstDash val="solid"/>
            </a:ln>
          </spPr>
          <marker>
            <symbol val="circle"/>
            <size val="5"/>
            <spPr>
              <a:solidFill>
                <a:srgbClr val="156082"/>
              </a:solidFill>
              <a:ln w="12700">
                <a:noFill/>
                <a:prstDash val="solid"/>
              </a:ln>
            </spPr>
          </marker>
          <cat>
            <strRef>
              <f>'PGA 0,5'!$M$9:$AB$9</f>
              <strCache>
                <ptCount val="16"/>
                <pt idx="0">
                  <v>Shear (U)x</v>
                </pt>
                <pt idx="1">
                  <v>Moment (U)x</v>
                </pt>
                <pt idx="2">
                  <v>Drift (U)x</v>
                </pt>
                <pt idx="3">
                  <v>Braced (U)x</v>
                </pt>
                <pt idx="4">
                  <v>Shear (S)x</v>
                </pt>
                <pt idx="5">
                  <v>Moment (S)x</v>
                </pt>
                <pt idx="6">
                  <v>Drift (S)x</v>
                </pt>
                <pt idx="7">
                  <v>Braced (S)x</v>
                </pt>
                <pt idx="8">
                  <v>Shear (U)y</v>
                </pt>
                <pt idx="9">
                  <v>Moment (U)y</v>
                </pt>
                <pt idx="10">
                  <v>Drift (U)y</v>
                </pt>
                <pt idx="11">
                  <v>Braced (U)y</v>
                </pt>
                <pt idx="12">
                  <v>Shear (S)y</v>
                </pt>
                <pt idx="13">
                  <v>Moment (S)y</v>
                </pt>
                <pt idx="14">
                  <v>Drift (S)y</v>
                </pt>
                <pt idx="15">
                  <v>Braced (S)y</v>
                </pt>
              </strCache>
            </strRef>
          </cat>
          <val>
            <numRef>
              <f>'PGA 0,5'!$M$10:$AB$10</f>
              <numCache>
                <formatCode>General</formatCode>
                <ptCount val="16"/>
              </numCache>
            </numRef>
          </val>
          <smooth val="0"/>
        </ser>
        <ser>
          <idx val="1"/>
          <order val="1"/>
          <tx>
            <strRef>
              <f>'PGA 0,5'!$B$11</f>
              <strCache>
                <ptCount val="1"/>
                <pt idx="0">
                  <v>0.5 BFCTST-BFCTST</v>
                </pt>
              </strCache>
            </strRef>
          </tx>
          <spPr>
            <a:ln w="38100">
              <a:noFill/>
              <a:prstDash val="solid"/>
            </a:ln>
          </spPr>
          <marker>
            <symbol val="circle"/>
            <size val="5"/>
            <spPr>
              <a:solidFill>
                <a:srgbClr val="156082"/>
              </a:solidFill>
              <a:ln w="12700">
                <a:noFill/>
                <a:prstDash val="solid"/>
              </a:ln>
            </spPr>
          </marker>
          <cat>
            <strRef>
              <f>'PGA 0,5'!$M$9:$AB$9</f>
              <strCache>
                <ptCount val="16"/>
                <pt idx="0">
                  <v>Shear (U)x</v>
                </pt>
                <pt idx="1">
                  <v>Moment (U)x</v>
                </pt>
                <pt idx="2">
                  <v>Drift (U)x</v>
                </pt>
                <pt idx="3">
                  <v>Braced (U)x</v>
                </pt>
                <pt idx="4">
                  <v>Shear (S)x</v>
                </pt>
                <pt idx="5">
                  <v>Moment (S)x</v>
                </pt>
                <pt idx="6">
                  <v>Drift (S)x</v>
                </pt>
                <pt idx="7">
                  <v>Braced (S)x</v>
                </pt>
                <pt idx="8">
                  <v>Shear (U)y</v>
                </pt>
                <pt idx="9">
                  <v>Moment (U)y</v>
                </pt>
                <pt idx="10">
                  <v>Drift (U)y</v>
                </pt>
                <pt idx="11">
                  <v>Braced (U)y</v>
                </pt>
                <pt idx="12">
                  <v>Shear (S)y</v>
                </pt>
                <pt idx="13">
                  <v>Moment (S)y</v>
                </pt>
                <pt idx="14">
                  <v>Drift (S)y</v>
                </pt>
                <pt idx="15">
                  <v>Braced (S)y</v>
                </pt>
              </strCache>
            </strRef>
          </cat>
          <val>
            <numRef>
              <f>'PGA 0,5'!$M$11:$AB$11</f>
              <numCache>
                <formatCode>General</formatCode>
                <ptCount val="16"/>
              </numCache>
            </numRef>
          </val>
          <smooth val="0"/>
        </ser>
        <ser>
          <idx val="2"/>
          <order val="2"/>
          <tx>
            <strRef>
              <f>'PGA 0,5'!$B$12</f>
              <strCache>
                <ptCount val="1"/>
                <pt idx="0">
                  <v>0.5 BFECST-BFECST</v>
                </pt>
              </strCache>
            </strRef>
          </tx>
          <spPr>
            <a:ln w="38100">
              <a:noFill/>
              <a:prstDash val="solid"/>
            </a:ln>
          </spPr>
          <marker>
            <symbol val="circle"/>
            <size val="5"/>
            <spPr>
              <a:solidFill>
                <a:srgbClr val="196B24"/>
              </a:solidFill>
              <a:ln w="12700">
                <a:noFill/>
                <a:prstDash val="solid"/>
              </a:ln>
            </spPr>
          </marker>
          <cat>
            <strRef>
              <f>'PGA 0,5'!$M$9:$AB$9</f>
              <strCache>
                <ptCount val="16"/>
                <pt idx="0">
                  <v>Shear (U)x</v>
                </pt>
                <pt idx="1">
                  <v>Moment (U)x</v>
                </pt>
                <pt idx="2">
                  <v>Drift (U)x</v>
                </pt>
                <pt idx="3">
                  <v>Braced (U)x</v>
                </pt>
                <pt idx="4">
                  <v>Shear (S)x</v>
                </pt>
                <pt idx="5">
                  <v>Moment (S)x</v>
                </pt>
                <pt idx="6">
                  <v>Drift (S)x</v>
                </pt>
                <pt idx="7">
                  <v>Braced (S)x</v>
                </pt>
                <pt idx="8">
                  <v>Shear (U)y</v>
                </pt>
                <pt idx="9">
                  <v>Moment (U)y</v>
                </pt>
                <pt idx="10">
                  <v>Drift (U)y</v>
                </pt>
                <pt idx="11">
                  <v>Braced (U)y</v>
                </pt>
                <pt idx="12">
                  <v>Shear (S)y</v>
                </pt>
                <pt idx="13">
                  <v>Moment (S)y</v>
                </pt>
                <pt idx="14">
                  <v>Drift (S)y</v>
                </pt>
                <pt idx="15">
                  <v>Braced (S)y</v>
                </pt>
              </strCache>
            </strRef>
          </cat>
          <val>
            <numRef>
              <f>'PGA 0,5'!$M$12:$AB$12</f>
              <numCache>
                <formatCode>General</formatCode>
                <ptCount val="16"/>
              </numCache>
            </numRef>
          </val>
          <smooth val="0"/>
        </ser>
        <ser>
          <idx val="3"/>
          <order val="3"/>
          <tx>
            <strRef>
              <f>'PGA 0,5'!$B$13</f>
              <strCache>
                <ptCount val="1"/>
                <pt idx="0">
                  <v>0.5 BFCOST-BFCTST</v>
                </pt>
              </strCache>
            </strRef>
          </tx>
          <spPr>
            <a:ln w="38100">
              <a:noFill/>
              <a:prstDash val="solid"/>
            </a:ln>
          </spPr>
          <marker>
            <symbol val="circle"/>
            <size val="5"/>
            <spPr>
              <a:solidFill>
                <a:srgbClr val="196B24"/>
              </a:solidFill>
              <a:ln w="12700">
                <a:noFill/>
                <a:prstDash val="solid"/>
              </a:ln>
            </spPr>
          </marker>
          <cat>
            <strRef>
              <f>'PGA 0,5'!$M$9:$AB$9</f>
              <strCache>
                <ptCount val="16"/>
                <pt idx="0">
                  <v>Shear (U)x</v>
                </pt>
                <pt idx="1">
                  <v>Moment (U)x</v>
                </pt>
                <pt idx="2">
                  <v>Drift (U)x</v>
                </pt>
                <pt idx="3">
                  <v>Braced (U)x</v>
                </pt>
                <pt idx="4">
                  <v>Shear (S)x</v>
                </pt>
                <pt idx="5">
                  <v>Moment (S)x</v>
                </pt>
                <pt idx="6">
                  <v>Drift (S)x</v>
                </pt>
                <pt idx="7">
                  <v>Braced (S)x</v>
                </pt>
                <pt idx="8">
                  <v>Shear (U)y</v>
                </pt>
                <pt idx="9">
                  <v>Moment (U)y</v>
                </pt>
                <pt idx="10">
                  <v>Drift (U)y</v>
                </pt>
                <pt idx="11">
                  <v>Braced (U)y</v>
                </pt>
                <pt idx="12">
                  <v>Shear (S)y</v>
                </pt>
                <pt idx="13">
                  <v>Moment (S)y</v>
                </pt>
                <pt idx="14">
                  <v>Drift (S)y</v>
                </pt>
                <pt idx="15">
                  <v>Braced (S)y</v>
                </pt>
              </strCache>
            </strRef>
          </cat>
          <val>
            <numRef>
              <f>'PGA 0,5'!$M$13:$AB$13</f>
              <numCache>
                <formatCode>General</formatCode>
                <ptCount val="16"/>
              </numCache>
            </numRef>
          </val>
          <smooth val="0"/>
        </ser>
        <ser>
          <idx val="4"/>
          <order val="4"/>
          <tx>
            <strRef>
              <f>'PGA 0,5'!$B$14</f>
              <strCache>
                <ptCount val="1"/>
                <pt idx="0">
                  <v>0.5 BFCOST-BFECST</v>
                </pt>
              </strCache>
            </strRef>
          </tx>
          <spPr>
            <a:ln w="38100">
              <a:noFill/>
              <a:prstDash val="solid"/>
            </a:ln>
          </spPr>
          <marker>
            <symbol val="circle"/>
            <size val="5"/>
            <spPr>
              <a:solidFill>
                <a:srgbClr val="0F9ED5"/>
              </a:solidFill>
              <a:ln w="12700">
                <a:noFill/>
                <a:prstDash val="solid"/>
              </a:ln>
            </spPr>
          </marker>
          <cat>
            <strRef>
              <f>'PGA 0,5'!$M$9:$AB$9</f>
              <strCache>
                <ptCount val="16"/>
                <pt idx="0">
                  <v>Shear (U)x</v>
                </pt>
                <pt idx="1">
                  <v>Moment (U)x</v>
                </pt>
                <pt idx="2">
                  <v>Drift (U)x</v>
                </pt>
                <pt idx="3">
                  <v>Braced (U)x</v>
                </pt>
                <pt idx="4">
                  <v>Shear (S)x</v>
                </pt>
                <pt idx="5">
                  <v>Moment (S)x</v>
                </pt>
                <pt idx="6">
                  <v>Drift (S)x</v>
                </pt>
                <pt idx="7">
                  <v>Braced (S)x</v>
                </pt>
                <pt idx="8">
                  <v>Shear (U)y</v>
                </pt>
                <pt idx="9">
                  <v>Moment (U)y</v>
                </pt>
                <pt idx="10">
                  <v>Drift (U)y</v>
                </pt>
                <pt idx="11">
                  <v>Braced (U)y</v>
                </pt>
                <pt idx="12">
                  <v>Shear (S)y</v>
                </pt>
                <pt idx="13">
                  <v>Moment (S)y</v>
                </pt>
                <pt idx="14">
                  <v>Drift (S)y</v>
                </pt>
                <pt idx="15">
                  <v>Braced (S)y</v>
                </pt>
              </strCache>
            </strRef>
          </cat>
          <val>
            <numRef>
              <f>'PGA 0,5'!$M$14:$AB$14</f>
              <numCache>
                <formatCode>General</formatCode>
                <ptCount val="16"/>
              </numCache>
            </numRef>
          </val>
          <smooth val="0"/>
        </ser>
        <ser>
          <idx val="5"/>
          <order val="5"/>
          <tx>
            <strRef>
              <f>'PGA 0,5'!$B$15</f>
              <strCache>
                <ptCount val="1"/>
                <pt idx="0">
                  <v>0.5 BFCTST-BFECST</v>
                </pt>
              </strCache>
            </strRef>
          </tx>
          <spPr>
            <a:ln w="38100">
              <a:noFill/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strRef>
              <f>'PGA 0,5'!$M$9:$AB$9</f>
              <strCache>
                <ptCount val="16"/>
                <pt idx="0">
                  <v>Shear (U)x</v>
                </pt>
                <pt idx="1">
                  <v>Moment (U)x</v>
                </pt>
                <pt idx="2">
                  <v>Drift (U)x</v>
                </pt>
                <pt idx="3">
                  <v>Braced (U)x</v>
                </pt>
                <pt idx="4">
                  <v>Shear (S)x</v>
                </pt>
                <pt idx="5">
                  <v>Moment (S)x</v>
                </pt>
                <pt idx="6">
                  <v>Drift (S)x</v>
                </pt>
                <pt idx="7">
                  <v>Braced (S)x</v>
                </pt>
                <pt idx="8">
                  <v>Shear (U)y</v>
                </pt>
                <pt idx="9">
                  <v>Moment (U)y</v>
                </pt>
                <pt idx="10">
                  <v>Drift (U)y</v>
                </pt>
                <pt idx="11">
                  <v>Braced (U)y</v>
                </pt>
                <pt idx="12">
                  <v>Shear (S)y</v>
                </pt>
                <pt idx="13">
                  <v>Moment (S)y</v>
                </pt>
                <pt idx="14">
                  <v>Drift (S)y</v>
                </pt>
                <pt idx="15">
                  <v>Braced (S)y</v>
                </pt>
              </strCache>
            </strRef>
          </cat>
          <val>
            <numRef>
              <f>'PGA 0,5'!$M$15:$AB$15</f>
              <numCache>
                <formatCode>General</formatCode>
                <ptCount val="16"/>
              </numCache>
            </numRef>
          </val>
          <smooth val="0"/>
        </ser>
        <ser>
          <idx val="6"/>
          <order val="6"/>
          <tx>
            <strRef>
              <f>'PGA 0,5'!$B$16</f>
              <strCache>
                <ptCount val="1"/>
                <pt idx="0">
                  <v>0.5 BFECST-BFCOST</v>
                </pt>
              </strCache>
            </strRef>
          </tx>
          <spPr>
            <a:ln w="38100">
              <a:noFill/>
              <a:prstDash val="solid"/>
            </a:ln>
          </spPr>
          <marker>
            <symbol val="circle"/>
            <size val="5"/>
            <spPr>
              <a:solidFill>
                <a:schemeClr val="accent1">
                  <a:lumMod val="60000"/>
                </a:schemeClr>
              </a:solidFill>
              <a:ln w="9525">
                <a:noFill/>
                <a:prstDash val="solid"/>
              </a:ln>
            </spPr>
          </marker>
          <cat>
            <strRef>
              <f>'PGA 0,5'!$M$9:$AB$9</f>
              <strCache>
                <ptCount val="16"/>
                <pt idx="0">
                  <v>Shear (U)x</v>
                </pt>
                <pt idx="1">
                  <v>Moment (U)x</v>
                </pt>
                <pt idx="2">
                  <v>Drift (U)x</v>
                </pt>
                <pt idx="3">
                  <v>Braced (U)x</v>
                </pt>
                <pt idx="4">
                  <v>Shear (S)x</v>
                </pt>
                <pt idx="5">
                  <v>Moment (S)x</v>
                </pt>
                <pt idx="6">
                  <v>Drift (S)x</v>
                </pt>
                <pt idx="7">
                  <v>Braced (S)x</v>
                </pt>
                <pt idx="8">
                  <v>Shear (U)y</v>
                </pt>
                <pt idx="9">
                  <v>Moment (U)y</v>
                </pt>
                <pt idx="10">
                  <v>Drift (U)y</v>
                </pt>
                <pt idx="11">
                  <v>Braced (U)y</v>
                </pt>
                <pt idx="12">
                  <v>Shear (S)y</v>
                </pt>
                <pt idx="13">
                  <v>Moment (S)y</v>
                </pt>
                <pt idx="14">
                  <v>Drift (S)y</v>
                </pt>
                <pt idx="15">
                  <v>Braced (S)y</v>
                </pt>
              </strCache>
            </strRef>
          </cat>
          <val>
            <numRef>
              <f>'PGA 0,5'!$M$16:$AB$16</f>
              <numCache>
                <formatCode>General</formatCode>
                <ptCount val="16"/>
              </numCache>
            </numRef>
          </val>
          <smooth val="0"/>
        </ser>
        <ser>
          <idx val="7"/>
          <order val="7"/>
          <tx>
            <strRef>
              <f>'PGA 0,5'!$B$17</f>
              <strCache>
                <ptCount val="1"/>
                <pt idx="0">
                  <v>0.5 BFCTST-BFCOST</v>
                </pt>
              </strCache>
            </strRef>
          </tx>
          <spPr>
            <a:ln w="38100">
              <a:noFill/>
              <a:prstDash val="solid"/>
            </a:ln>
          </spPr>
          <marker>
            <symbol val="circle"/>
            <size val="5"/>
            <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prstDash val="solid"/>
              </a:ln>
            </spPr>
          </marker>
          <cat>
            <strRef>
              <f>'PGA 0,5'!$M$9:$AB$9</f>
              <strCache>
                <ptCount val="16"/>
                <pt idx="0">
                  <v>Shear (U)x</v>
                </pt>
                <pt idx="1">
                  <v>Moment (U)x</v>
                </pt>
                <pt idx="2">
                  <v>Drift (U)x</v>
                </pt>
                <pt idx="3">
                  <v>Braced (U)x</v>
                </pt>
                <pt idx="4">
                  <v>Shear (S)x</v>
                </pt>
                <pt idx="5">
                  <v>Moment (S)x</v>
                </pt>
                <pt idx="6">
                  <v>Drift (S)x</v>
                </pt>
                <pt idx="7">
                  <v>Braced (S)x</v>
                </pt>
                <pt idx="8">
                  <v>Shear (U)y</v>
                </pt>
                <pt idx="9">
                  <v>Moment (U)y</v>
                </pt>
                <pt idx="10">
                  <v>Drift (U)y</v>
                </pt>
                <pt idx="11">
                  <v>Braced (U)y</v>
                </pt>
                <pt idx="12">
                  <v>Shear (S)y</v>
                </pt>
                <pt idx="13">
                  <v>Moment (S)y</v>
                </pt>
                <pt idx="14">
                  <v>Drift (S)y</v>
                </pt>
                <pt idx="15">
                  <v>Braced (S)y</v>
                </pt>
              </strCache>
            </strRef>
          </cat>
          <val>
            <numRef>
              <f>'PGA 0,5'!$M$17:$AB$17</f>
              <numCache>
                <formatCode>General</formatCode>
                <ptCount val="16"/>
              </numCache>
            </numRef>
          </val>
          <smooth val="0"/>
        </ser>
        <ser>
          <idx val="8"/>
          <order val="8"/>
          <tx>
            <strRef>
              <f>'PGA 0,5'!$B$18</f>
              <strCache>
                <ptCount val="1"/>
                <pt idx="0">
                  <v>0.5 BFECST-BFCTST</v>
                </pt>
              </strCache>
            </strRef>
          </tx>
          <spPr>
            <a:ln w="38100">
              <a:noFill/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'PGA 0,5'!$M$9:$AB$9</f>
              <strCache>
                <ptCount val="16"/>
                <pt idx="0">
                  <v>Shear (U)x</v>
                </pt>
                <pt idx="1">
                  <v>Moment (U)x</v>
                </pt>
                <pt idx="2">
                  <v>Drift (U)x</v>
                </pt>
                <pt idx="3">
                  <v>Braced (U)x</v>
                </pt>
                <pt idx="4">
                  <v>Shear (S)x</v>
                </pt>
                <pt idx="5">
                  <v>Moment (S)x</v>
                </pt>
                <pt idx="6">
                  <v>Drift (S)x</v>
                </pt>
                <pt idx="7">
                  <v>Braced (S)x</v>
                </pt>
                <pt idx="8">
                  <v>Shear (U)y</v>
                </pt>
                <pt idx="9">
                  <v>Moment (U)y</v>
                </pt>
                <pt idx="10">
                  <v>Drift (U)y</v>
                </pt>
                <pt idx="11">
                  <v>Braced (U)y</v>
                </pt>
                <pt idx="12">
                  <v>Shear (S)y</v>
                </pt>
                <pt idx="13">
                  <v>Moment (S)y</v>
                </pt>
                <pt idx="14">
                  <v>Drift (S)y</v>
                </pt>
                <pt idx="15">
                  <v>Braced (S)y</v>
                </pt>
              </strCache>
            </strRef>
          </cat>
          <val>
            <numRef>
              <f>'PGA 0,5'!$M$18:$AB$18</f>
              <numCache>
                <formatCode>General</formatCode>
                <ptCount val="16"/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225702528"/>
        <axId val="1"/>
      </lineChart>
      <catAx>
        <axId val="122570252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2700000" vert="horz"/>
          <a:lstStyle/>
          <a:p>
            <a:pPr>
              <a:defRPr sz="900" b="0" i="0" strike="noStrike" baseline="0">
                <a:solidFill>
                  <a:srgbClr val="333333"/>
                </a:solidFill>
                <a:latin typeface="Aptos Narrow"/>
                <a:ea typeface="Aptos Narrow"/>
                <a:cs typeface="Aptos Narrow"/>
              </a:defRPr>
            </a:pPr>
            <a:r>
              <a:t/>
            </a:r>
            <a:endParaRPr lang="en-US"/>
          </a:p>
        </txPr>
        <crossAx val="1"/>
        <crosses val="autoZero"/>
        <auto val="1"/>
        <lblAlgn val="ctr"/>
        <lblOffset val="100"/>
        <noMultiLvlLbl val="0"/>
      </catAx>
      <valAx>
        <axId val="1"/>
        <scaling>
          <orientation val="minMax"/>
          <max val="120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ln w="12700">
            <a:noFill/>
            <a:prstDash val="solid"/>
          </a:ln>
        </spPr>
        <txPr>
          <a:bodyPr rot="0" vert="horz"/>
          <a:lstStyle/>
          <a:p>
            <a:pPr>
              <a:defRPr sz="900" b="0" i="0" strike="noStrike" baseline="0">
                <a:solidFill>
                  <a:srgbClr val="333333"/>
                </a:solidFill>
                <a:latin typeface="Aptos Narrow"/>
                <a:ea typeface="Aptos Narrow"/>
                <a:cs typeface="Aptos Narrow"/>
              </a:defRPr>
            </a:pPr>
            <a:r>
              <a:t/>
            </a:r>
            <a:endParaRPr lang="en-US"/>
          </a:p>
        </txPr>
        <crossAx val="1225702528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02782095542592813"/>
          <y val="0.8389802127163658"/>
          <w val="0.9376297906544653"/>
          <h val="0.1564634779657413"/>
        </manualLayout>
      </layout>
      <overlay val="0"/>
      <spPr>
        <a:noFill/>
        <a:ln w="25400">
          <a:noFill/>
          <a:prstDash val="solid"/>
        </a:ln>
      </spPr>
      <txPr>
        <a:bodyPr/>
        <a:lstStyle/>
        <a:p>
          <a:pPr>
            <a:defRPr sz="1400" b="0" i="0" strike="noStrike" baseline="0">
              <a:solidFill>
                <a:srgbClr val="333333"/>
              </a:solidFill>
              <a:latin typeface="Aptos Narrow"/>
              <a:ea typeface="Aptos Narrow"/>
              <a:cs typeface="Aptos Narrow"/>
            </a:defRPr>
          </a:pPr>
          <a:r>
            <a:t/>
          </a:r>
          <a:endParaRPr lang="en-US"/>
        </a:p>
      </txPr>
    </legend>
    <plotVisOnly val="1"/>
    <dispBlanksAs val="zero"/>
  </chart>
  <spPr>
    <a:solidFill>
      <a:schemeClr val="bg1"/>
    </a:solidFill>
    <a:ln w="9525" cap="flat" cmpd="sng" algn="ctr">
      <a:solidFill>
        <a:schemeClr val="tx1"/>
      </a:solidFill>
      <a:prstDash val="solid"/>
      <a:round/>
    </a:ln>
  </spPr>
</chartSpace>
</file>

<file path=xl/charts/chart6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8152997769947516"/>
          <y val="0.04474002590402423"/>
          <w val="0.8899818052029135"/>
          <h val="0.5304588651429154"/>
        </manualLayout>
      </layout>
      <lineChart>
        <grouping val="standard"/>
        <varyColors val="0"/>
        <ser>
          <idx val="0"/>
          <order val="0"/>
          <tx>
            <v>Shear (U)x</v>
          </tx>
          <spPr>
            <a:ln w="254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noFill/>
                <a:prstDash val="solid"/>
              </a:ln>
            </spPr>
          </marker>
          <trendline>
            <spPr>
              <a:ln w="19050" cap="rnd">
                <a:solidFill>
                  <a:schemeClr val="accent1"/>
                </a:solidFill>
                <a:prstDash val="sysDot"/>
              </a:ln>
            </spPr>
            <trendlineType val="linear"/>
            <dispRSqr val="0"/>
            <dispEq val="0"/>
          </trendline>
          <cat>
            <strLit>
              <ptCount val="36"/>
              <pt idx="0">
                <v>0.4 MFRC-MFRC</v>
              </pt>
              <pt idx="1">
                <v>0.4 MFST-MFST</v>
              </pt>
              <pt idx="2">
                <v>0.4 BFCOST-BFCOST</v>
              </pt>
              <pt idx="3">
                <v>0.4 BFCTST-BFCTST</v>
              </pt>
              <pt idx="4">
                <v>0.4 BFIVST-BFIVST</v>
              </pt>
              <pt idx="5">
                <v>0.4 BFECST-BFECST</v>
              </pt>
              <pt idx="6">
                <v>0.4 MFRC-MFST</v>
              </pt>
              <pt idx="7">
                <v>0.4 MFRC-BFCOST</v>
              </pt>
              <pt idx="8">
                <v>0.4 MFRC-BFCTST</v>
              </pt>
              <pt idx="9">
                <v>0.4 MFRC-BFIVST</v>
              </pt>
              <pt idx="10">
                <v>0.4 MFRC-BFECST</v>
              </pt>
              <pt idx="11">
                <v>0.4 MFST-BFCOST</v>
              </pt>
              <pt idx="12">
                <v>0.4 MFST-BFCTST</v>
              </pt>
              <pt idx="13">
                <v>0.4 MFST-BFIVST</v>
              </pt>
              <pt idx="14">
                <v>0.4 MFST-BFECST</v>
              </pt>
              <pt idx="15">
                <v>0.4 BFCOST-BFCTST</v>
              </pt>
              <pt idx="16">
                <v>0.4 BFCOST-BFIVST</v>
              </pt>
              <pt idx="17">
                <v>0.4 BFCOST-BFECST</v>
              </pt>
              <pt idx="18">
                <v>0.4 BFCTST-BFIVST</v>
              </pt>
              <pt idx="19">
                <v>0.4 BFCTST-BFECST</v>
              </pt>
              <pt idx="20">
                <v>0.4 BFECST-BFIVST</v>
              </pt>
              <pt idx="21">
                <v>0.4 MFST-MFRC</v>
              </pt>
              <pt idx="22">
                <v>0.4 BFCOST-MFRC</v>
              </pt>
              <pt idx="23">
                <v>0.4 BFCTST-MFRC</v>
              </pt>
              <pt idx="24">
                <v>0.4 BFIVST-MFRC</v>
              </pt>
              <pt idx="25">
                <v>0.4 BFECST-MFRC</v>
              </pt>
              <pt idx="26">
                <v>0.4 BFCOST-MFST</v>
              </pt>
              <pt idx="27">
                <v>0.4 BFCTST-MFST</v>
              </pt>
              <pt idx="28">
                <v>0.4 BFIVST-MFST</v>
              </pt>
              <pt idx="29">
                <v>0.4 BFECST-MFST</v>
              </pt>
              <pt idx="30">
                <v>0.4 BFCTST-BFCOST</v>
              </pt>
              <pt idx="31">
                <v>0.4 BFIVST-BFCOST</v>
              </pt>
              <pt idx="32">
                <v>0.4 BFECST-BFCOST</v>
              </pt>
              <pt idx="33">
                <v>0.4 BFIVST-BFCTST</v>
              </pt>
              <pt idx="34">
                <v>0.4 BFECST-BFCTST</v>
              </pt>
              <pt idx="35">
                <v>0.4 BFIVST-BFECST</v>
              </pt>
            </strLit>
          </cat>
          <val>
            <numLit>
              <formatCode>General</formatCode>
              <ptCount val="36"/>
              <pt idx="0">
                <v>66</v>
              </pt>
              <pt idx="1">
                <v>86</v>
              </pt>
              <pt idx="6">
                <v>64</v>
              </pt>
              <pt idx="7">
                <v>65</v>
              </pt>
              <pt idx="8">
                <v>73</v>
              </pt>
              <pt idx="9">
                <v>65</v>
              </pt>
              <pt idx="10">
                <v>66</v>
              </pt>
              <pt idx="11">
                <v>46</v>
              </pt>
              <pt idx="12">
                <v>46</v>
              </pt>
              <pt idx="13">
                <v>46</v>
              </pt>
              <pt idx="14">
                <v>47</v>
              </pt>
              <pt idx="21">
                <v>91</v>
              </pt>
            </numLit>
          </val>
          <smooth val="0"/>
        </ser>
        <ser>
          <idx val="1"/>
          <order val="1"/>
          <tx>
            <v>Moment (U)x</v>
          </tx>
          <spPr>
            <a:ln w="254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>
                <a:noFill/>
                <a:prstDash val="solid"/>
              </a:ln>
            </spPr>
          </marker>
          <trendline>
            <spPr>
              <a:ln w="19050" cap="rnd">
                <a:solidFill>
                  <a:schemeClr val="accent2"/>
                </a:solidFill>
                <a:prstDash val="sysDot"/>
              </a:ln>
            </spPr>
            <trendlineType val="linear"/>
            <dispRSqr val="0"/>
            <dispEq val="0"/>
          </trendline>
          <cat>
            <strLit>
              <ptCount val="36"/>
              <pt idx="0">
                <v>0.4 MFRC-MFRC</v>
              </pt>
              <pt idx="1">
                <v>0.4 MFST-MFST</v>
              </pt>
              <pt idx="2">
                <v>0.4 BFCOST-BFCOST</v>
              </pt>
              <pt idx="3">
                <v>0.4 BFCTST-BFCTST</v>
              </pt>
              <pt idx="4">
                <v>0.4 BFIVST-BFIVST</v>
              </pt>
              <pt idx="5">
                <v>0.4 BFECST-BFECST</v>
              </pt>
              <pt idx="6">
                <v>0.4 MFRC-MFST</v>
              </pt>
              <pt idx="7">
                <v>0.4 MFRC-BFCOST</v>
              </pt>
              <pt idx="8">
                <v>0.4 MFRC-BFCTST</v>
              </pt>
              <pt idx="9">
                <v>0.4 MFRC-BFIVST</v>
              </pt>
              <pt idx="10">
                <v>0.4 MFRC-BFECST</v>
              </pt>
              <pt idx="11">
                <v>0.4 MFST-BFCOST</v>
              </pt>
              <pt idx="12">
                <v>0.4 MFST-BFCTST</v>
              </pt>
              <pt idx="13">
                <v>0.4 MFST-BFIVST</v>
              </pt>
              <pt idx="14">
                <v>0.4 MFST-BFECST</v>
              </pt>
              <pt idx="15">
                <v>0.4 BFCOST-BFCTST</v>
              </pt>
              <pt idx="16">
                <v>0.4 BFCOST-BFIVST</v>
              </pt>
              <pt idx="17">
                <v>0.4 BFCOST-BFECST</v>
              </pt>
              <pt idx="18">
                <v>0.4 BFCTST-BFIVST</v>
              </pt>
              <pt idx="19">
                <v>0.4 BFCTST-BFECST</v>
              </pt>
              <pt idx="20">
                <v>0.4 BFECST-BFIVST</v>
              </pt>
              <pt idx="21">
                <v>0.4 MFST-MFRC</v>
              </pt>
              <pt idx="22">
                <v>0.4 BFCOST-MFRC</v>
              </pt>
              <pt idx="23">
                <v>0.4 BFCTST-MFRC</v>
              </pt>
              <pt idx="24">
                <v>0.4 BFIVST-MFRC</v>
              </pt>
              <pt idx="25">
                <v>0.4 BFECST-MFRC</v>
              </pt>
              <pt idx="26">
                <v>0.4 BFCOST-MFST</v>
              </pt>
              <pt idx="27">
                <v>0.4 BFCTST-MFST</v>
              </pt>
              <pt idx="28">
                <v>0.4 BFIVST-MFST</v>
              </pt>
              <pt idx="29">
                <v>0.4 BFECST-MFST</v>
              </pt>
              <pt idx="30">
                <v>0.4 BFCTST-BFCOST</v>
              </pt>
              <pt idx="31">
                <v>0.4 BFIVST-BFCOST</v>
              </pt>
              <pt idx="32">
                <v>0.4 BFECST-BFCOST</v>
              </pt>
              <pt idx="33">
                <v>0.4 BFIVST-BFCTST</v>
              </pt>
              <pt idx="34">
                <v>0.4 BFECST-BFCTST</v>
              </pt>
              <pt idx="35">
                <v>0.4 BFIVST-BFECST</v>
              </pt>
            </strLit>
          </cat>
          <val>
            <numLit>
              <formatCode>General</formatCode>
              <ptCount val="36"/>
              <pt idx="0">
                <v>98</v>
              </pt>
              <pt idx="1">
                <v>77</v>
              </pt>
              <pt idx="6">
                <v>95</v>
              </pt>
              <pt idx="7">
                <v>98</v>
              </pt>
              <pt idx="8">
                <v>96</v>
              </pt>
              <pt idx="9">
                <v>96</v>
              </pt>
              <pt idx="10">
                <v>97</v>
              </pt>
              <pt idx="11">
                <v>58</v>
              </pt>
              <pt idx="12">
                <v>58</v>
              </pt>
              <pt idx="13">
                <v>59</v>
              </pt>
              <pt idx="14">
                <v>59</v>
              </pt>
              <pt idx="21">
                <v>84</v>
              </pt>
            </numLit>
          </val>
          <smooth val="0"/>
        </ser>
        <ser>
          <idx val="2"/>
          <order val="2"/>
          <tx>
            <v>Drift (U)x</v>
          </tx>
          <spPr>
            <a:ln w="254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3"/>
              </a:solidFill>
              <a:ln w="9525">
                <a:noFill/>
                <a:prstDash val="solid"/>
              </a:ln>
            </spPr>
          </marker>
          <trendline>
            <spPr>
              <a:ln w="19050" cap="rnd">
                <a:solidFill>
                  <a:schemeClr val="accent3"/>
                </a:solidFill>
                <a:prstDash val="sysDot"/>
              </a:ln>
            </spPr>
            <trendlineType val="linear"/>
            <dispRSqr val="0"/>
            <dispEq val="0"/>
          </trendline>
          <cat>
            <strLit>
              <ptCount val="36"/>
              <pt idx="0">
                <v>0.4 MFRC-MFRC</v>
              </pt>
              <pt idx="1">
                <v>0.4 MFST-MFST</v>
              </pt>
              <pt idx="2">
                <v>0.4 BFCOST-BFCOST</v>
              </pt>
              <pt idx="3">
                <v>0.4 BFCTST-BFCTST</v>
              </pt>
              <pt idx="4">
                <v>0.4 BFIVST-BFIVST</v>
              </pt>
              <pt idx="5">
                <v>0.4 BFECST-BFECST</v>
              </pt>
              <pt idx="6">
                <v>0.4 MFRC-MFST</v>
              </pt>
              <pt idx="7">
                <v>0.4 MFRC-BFCOST</v>
              </pt>
              <pt idx="8">
                <v>0.4 MFRC-BFCTST</v>
              </pt>
              <pt idx="9">
                <v>0.4 MFRC-BFIVST</v>
              </pt>
              <pt idx="10">
                <v>0.4 MFRC-BFECST</v>
              </pt>
              <pt idx="11">
                <v>0.4 MFST-BFCOST</v>
              </pt>
              <pt idx="12">
                <v>0.4 MFST-BFCTST</v>
              </pt>
              <pt idx="13">
                <v>0.4 MFST-BFIVST</v>
              </pt>
              <pt idx="14">
                <v>0.4 MFST-BFECST</v>
              </pt>
              <pt idx="15">
                <v>0.4 BFCOST-BFCTST</v>
              </pt>
              <pt idx="16">
                <v>0.4 BFCOST-BFIVST</v>
              </pt>
              <pt idx="17">
                <v>0.4 BFCOST-BFECST</v>
              </pt>
              <pt idx="18">
                <v>0.4 BFCTST-BFIVST</v>
              </pt>
              <pt idx="19">
                <v>0.4 BFCTST-BFECST</v>
              </pt>
              <pt idx="20">
                <v>0.4 BFECST-BFIVST</v>
              </pt>
              <pt idx="21">
                <v>0.4 MFST-MFRC</v>
              </pt>
              <pt idx="22">
                <v>0.4 BFCOST-MFRC</v>
              </pt>
              <pt idx="23">
                <v>0.4 BFCTST-MFRC</v>
              </pt>
              <pt idx="24">
                <v>0.4 BFIVST-MFRC</v>
              </pt>
              <pt idx="25">
                <v>0.4 BFECST-MFRC</v>
              </pt>
              <pt idx="26">
                <v>0.4 BFCOST-MFST</v>
              </pt>
              <pt idx="27">
                <v>0.4 BFCTST-MFST</v>
              </pt>
              <pt idx="28">
                <v>0.4 BFIVST-MFST</v>
              </pt>
              <pt idx="29">
                <v>0.4 BFECST-MFST</v>
              </pt>
              <pt idx="30">
                <v>0.4 BFCTST-BFCOST</v>
              </pt>
              <pt idx="31">
                <v>0.4 BFIVST-BFCOST</v>
              </pt>
              <pt idx="32">
                <v>0.4 BFECST-BFCOST</v>
              </pt>
              <pt idx="33">
                <v>0.4 BFIVST-BFCTST</v>
              </pt>
              <pt idx="34">
                <v>0.4 BFECST-BFCTST</v>
              </pt>
              <pt idx="35">
                <v>0.4 BFIVST-BFECST</v>
              </pt>
            </strLit>
          </cat>
          <val>
            <numLit>
              <formatCode>General</formatCode>
              <ptCount val="36"/>
              <pt idx="0">
                <v>80</v>
              </pt>
              <pt idx="1">
                <v>36</v>
              </pt>
              <pt idx="2">
                <v>47</v>
              </pt>
              <pt idx="3">
                <v>40</v>
              </pt>
              <pt idx="4">
                <v>59</v>
              </pt>
              <pt idx="5">
                <v>74</v>
              </pt>
              <pt idx="6">
                <v>81</v>
              </pt>
              <pt idx="7">
                <v>83</v>
              </pt>
              <pt idx="8">
                <v>68</v>
              </pt>
              <pt idx="9">
                <v>79</v>
              </pt>
              <pt idx="10">
                <v>79</v>
              </pt>
              <pt idx="11">
                <v>21</v>
              </pt>
              <pt idx="12">
                <v>21</v>
              </pt>
              <pt idx="13">
                <v>21</v>
              </pt>
              <pt idx="14">
                <v>21</v>
              </pt>
              <pt idx="15">
                <v>47</v>
              </pt>
              <pt idx="16">
                <v>48</v>
              </pt>
              <pt idx="17">
                <v>48</v>
              </pt>
              <pt idx="18">
                <v>40</v>
              </pt>
              <pt idx="19">
                <v>41</v>
              </pt>
              <pt idx="20">
                <v>73</v>
              </pt>
              <pt idx="21">
                <v>38</v>
              </pt>
              <pt idx="22">
                <v>41</v>
              </pt>
              <pt idx="23">
                <v>42</v>
              </pt>
              <pt idx="24">
                <v>61</v>
              </pt>
              <pt idx="25">
                <v>74</v>
              </pt>
              <pt idx="26">
                <v>47</v>
              </pt>
              <pt idx="27">
                <v>40</v>
              </pt>
              <pt idx="28">
                <v>58</v>
              </pt>
              <pt idx="29">
                <v>72</v>
              </pt>
              <pt idx="30">
                <v>40</v>
              </pt>
              <pt idx="31">
                <v>57</v>
              </pt>
              <pt idx="32">
                <v>72</v>
              </pt>
              <pt idx="33">
                <v>58</v>
              </pt>
              <pt idx="34">
                <v>72</v>
              </pt>
              <pt idx="35">
                <v>59</v>
              </pt>
            </numLit>
          </val>
          <smooth val="0"/>
        </ser>
        <ser>
          <idx val="3"/>
          <order val="3"/>
          <tx>
            <v>Braced (U)x</v>
          </tx>
          <spPr>
            <a:ln w="254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4"/>
              </a:solidFill>
              <a:ln w="9525">
                <a:noFill/>
                <a:prstDash val="solid"/>
              </a:ln>
            </spPr>
          </marker>
          <trendline>
            <spPr>
              <a:ln w="19050" cap="rnd">
                <a:solidFill>
                  <a:schemeClr val="accent4"/>
                </a:solidFill>
                <a:prstDash val="sysDot"/>
              </a:ln>
            </spPr>
            <trendlineType val="linear"/>
            <dispRSqr val="0"/>
            <dispEq val="0"/>
          </trendline>
          <cat>
            <strLit>
              <ptCount val="36"/>
              <pt idx="0">
                <v>0.4 MFRC-MFRC</v>
              </pt>
              <pt idx="1">
                <v>0.4 MFST-MFST</v>
              </pt>
              <pt idx="2">
                <v>0.4 BFCOST-BFCOST</v>
              </pt>
              <pt idx="3">
                <v>0.4 BFCTST-BFCTST</v>
              </pt>
              <pt idx="4">
                <v>0.4 BFIVST-BFIVST</v>
              </pt>
              <pt idx="5">
                <v>0.4 BFECST-BFECST</v>
              </pt>
              <pt idx="6">
                <v>0.4 MFRC-MFST</v>
              </pt>
              <pt idx="7">
                <v>0.4 MFRC-BFCOST</v>
              </pt>
              <pt idx="8">
                <v>0.4 MFRC-BFCTST</v>
              </pt>
              <pt idx="9">
                <v>0.4 MFRC-BFIVST</v>
              </pt>
              <pt idx="10">
                <v>0.4 MFRC-BFECST</v>
              </pt>
              <pt idx="11">
                <v>0.4 MFST-BFCOST</v>
              </pt>
              <pt idx="12">
                <v>0.4 MFST-BFCTST</v>
              </pt>
              <pt idx="13">
                <v>0.4 MFST-BFIVST</v>
              </pt>
              <pt idx="14">
                <v>0.4 MFST-BFECST</v>
              </pt>
              <pt idx="15">
                <v>0.4 BFCOST-BFCTST</v>
              </pt>
              <pt idx="16">
                <v>0.4 BFCOST-BFIVST</v>
              </pt>
              <pt idx="17">
                <v>0.4 BFCOST-BFECST</v>
              </pt>
              <pt idx="18">
                <v>0.4 BFCTST-BFIVST</v>
              </pt>
              <pt idx="19">
                <v>0.4 BFCTST-BFECST</v>
              </pt>
              <pt idx="20">
                <v>0.4 BFECST-BFIVST</v>
              </pt>
              <pt idx="21">
                <v>0.4 MFST-MFRC</v>
              </pt>
              <pt idx="22">
                <v>0.4 BFCOST-MFRC</v>
              </pt>
              <pt idx="23">
                <v>0.4 BFCTST-MFRC</v>
              </pt>
              <pt idx="24">
                <v>0.4 BFIVST-MFRC</v>
              </pt>
              <pt idx="25">
                <v>0.4 BFECST-MFRC</v>
              </pt>
              <pt idx="26">
                <v>0.4 BFCOST-MFST</v>
              </pt>
              <pt idx="27">
                <v>0.4 BFCTST-MFST</v>
              </pt>
              <pt idx="28">
                <v>0.4 BFIVST-MFST</v>
              </pt>
              <pt idx="29">
                <v>0.4 BFECST-MFST</v>
              </pt>
              <pt idx="30">
                <v>0.4 BFCTST-BFCOST</v>
              </pt>
              <pt idx="31">
                <v>0.4 BFIVST-BFCOST</v>
              </pt>
              <pt idx="32">
                <v>0.4 BFECST-BFCOST</v>
              </pt>
              <pt idx="33">
                <v>0.4 BFIVST-BFCTST</v>
              </pt>
              <pt idx="34">
                <v>0.4 BFECST-BFCTST</v>
              </pt>
              <pt idx="35">
                <v>0.4 BFIVST-BFECST</v>
              </pt>
            </strLit>
          </cat>
          <val>
            <numLit>
              <formatCode>General</formatCode>
              <ptCount val="36"/>
              <pt idx="2">
                <v>83</v>
              </pt>
              <pt idx="3">
                <v>89</v>
              </pt>
              <pt idx="4">
                <v>79</v>
              </pt>
              <pt idx="5">
                <v>49</v>
              </pt>
              <pt idx="15">
                <v>84</v>
              </pt>
              <pt idx="16">
                <v>85</v>
              </pt>
              <pt idx="17">
                <v>85</v>
              </pt>
              <pt idx="18">
                <v>91</v>
              </pt>
              <pt idx="19">
                <v>91</v>
              </pt>
              <pt idx="20">
                <v>49</v>
              </pt>
              <pt idx="22">
                <v>90</v>
              </pt>
              <pt idx="23">
                <v>95</v>
              </pt>
              <pt idx="24">
                <v>84</v>
              </pt>
              <pt idx="25">
                <v>50</v>
              </pt>
              <pt idx="26">
                <v>83</v>
              </pt>
              <pt idx="27">
                <v>89</v>
              </pt>
              <pt idx="28">
                <v>78</v>
              </pt>
              <pt idx="29">
                <v>47</v>
              </pt>
              <pt idx="30">
                <v>89</v>
              </pt>
              <pt idx="31">
                <v>78</v>
              </pt>
              <pt idx="32">
                <v>48</v>
              </pt>
              <pt idx="33">
                <v>78</v>
              </pt>
              <pt idx="34">
                <v>48</v>
              </pt>
              <pt idx="35">
                <v>80</v>
              </pt>
            </numLit>
          </val>
          <smooth val="0"/>
        </ser>
        <ser>
          <idx val="4"/>
          <order val="4"/>
          <tx>
            <v>Shear (S)x</v>
          </tx>
          <spPr>
            <a:ln w="254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5"/>
              </a:solidFill>
              <a:ln w="9525">
                <a:noFill/>
                <a:prstDash val="solid"/>
              </a:ln>
            </spPr>
          </marker>
          <trendline>
            <spPr>
              <a:ln w="19050" cap="rnd">
                <a:solidFill>
                  <a:schemeClr val="accent5"/>
                </a:solidFill>
                <a:prstDash val="sysDot"/>
              </a:ln>
            </spPr>
            <trendlineType val="linear"/>
            <dispRSqr val="0"/>
            <dispEq val="0"/>
          </trendline>
          <cat>
            <strLit>
              <ptCount val="36"/>
              <pt idx="0">
                <v>0.4 MFRC-MFRC</v>
              </pt>
              <pt idx="1">
                <v>0.4 MFST-MFST</v>
              </pt>
              <pt idx="2">
                <v>0.4 BFCOST-BFCOST</v>
              </pt>
              <pt idx="3">
                <v>0.4 BFCTST-BFCTST</v>
              </pt>
              <pt idx="4">
                <v>0.4 BFIVST-BFIVST</v>
              </pt>
              <pt idx="5">
                <v>0.4 BFECST-BFECST</v>
              </pt>
              <pt idx="6">
                <v>0.4 MFRC-MFST</v>
              </pt>
              <pt idx="7">
                <v>0.4 MFRC-BFCOST</v>
              </pt>
              <pt idx="8">
                <v>0.4 MFRC-BFCTST</v>
              </pt>
              <pt idx="9">
                <v>0.4 MFRC-BFIVST</v>
              </pt>
              <pt idx="10">
                <v>0.4 MFRC-BFECST</v>
              </pt>
              <pt idx="11">
                <v>0.4 MFST-BFCOST</v>
              </pt>
              <pt idx="12">
                <v>0.4 MFST-BFCTST</v>
              </pt>
              <pt idx="13">
                <v>0.4 MFST-BFIVST</v>
              </pt>
              <pt idx="14">
                <v>0.4 MFST-BFECST</v>
              </pt>
              <pt idx="15">
                <v>0.4 BFCOST-BFCTST</v>
              </pt>
              <pt idx="16">
                <v>0.4 BFCOST-BFIVST</v>
              </pt>
              <pt idx="17">
                <v>0.4 BFCOST-BFECST</v>
              </pt>
              <pt idx="18">
                <v>0.4 BFCTST-BFIVST</v>
              </pt>
              <pt idx="19">
                <v>0.4 BFCTST-BFECST</v>
              </pt>
              <pt idx="20">
                <v>0.4 BFECST-BFIVST</v>
              </pt>
              <pt idx="21">
                <v>0.4 MFST-MFRC</v>
              </pt>
              <pt idx="22">
                <v>0.4 BFCOST-MFRC</v>
              </pt>
              <pt idx="23">
                <v>0.4 BFCTST-MFRC</v>
              </pt>
              <pt idx="24">
                <v>0.4 BFIVST-MFRC</v>
              </pt>
              <pt idx="25">
                <v>0.4 BFECST-MFRC</v>
              </pt>
              <pt idx="26">
                <v>0.4 BFCOST-MFST</v>
              </pt>
              <pt idx="27">
                <v>0.4 BFCTST-MFST</v>
              </pt>
              <pt idx="28">
                <v>0.4 BFIVST-MFST</v>
              </pt>
              <pt idx="29">
                <v>0.4 BFECST-MFST</v>
              </pt>
              <pt idx="30">
                <v>0.4 BFCTST-BFCOST</v>
              </pt>
              <pt idx="31">
                <v>0.4 BFIVST-BFCOST</v>
              </pt>
              <pt idx="32">
                <v>0.4 BFECST-BFCOST</v>
              </pt>
              <pt idx="33">
                <v>0.4 BFIVST-BFCTST</v>
              </pt>
              <pt idx="34">
                <v>0.4 BFECST-BFCTST</v>
              </pt>
              <pt idx="35">
                <v>0.4 BFIVST-BFECST</v>
              </pt>
            </strLit>
          </cat>
          <val>
            <numLit>
              <formatCode>General</formatCode>
              <ptCount val="36"/>
              <pt idx="0">
                <v>28</v>
              </pt>
              <pt idx="1">
                <v>48</v>
              </pt>
              <pt idx="6">
                <v>27</v>
              </pt>
              <pt idx="7">
                <v>28</v>
              </pt>
              <pt idx="8">
                <v>30</v>
              </pt>
              <pt idx="9">
                <v>27</v>
              </pt>
              <pt idx="10">
                <v>27</v>
              </pt>
              <pt idx="11">
                <v>26</v>
              </pt>
              <pt idx="12">
                <v>26</v>
              </pt>
              <pt idx="13">
                <v>26</v>
              </pt>
              <pt idx="14">
                <v>26</v>
              </pt>
              <pt idx="21">
                <v>51</v>
              </pt>
            </numLit>
          </val>
          <smooth val="0"/>
        </ser>
        <ser>
          <idx val="5"/>
          <order val="5"/>
          <tx>
            <v>Moment (S)x</v>
          </tx>
          <spPr>
            <a:ln w="254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1">
                  <a:lumMod val="60000"/>
                </a:schemeClr>
              </a:solidFill>
              <a:ln w="9525">
                <a:noFill/>
                <a:prstDash val="solid"/>
              </a:ln>
            </spPr>
          </marker>
          <trendline>
            <spPr>
              <a:ln w="19050" cap="rnd">
                <a:solidFill>
                  <a:schemeClr val="accent1">
                    <a:lumMod val="60000"/>
                  </a:schemeClr>
                </a:solidFill>
                <a:prstDash val="sysDot"/>
              </a:ln>
            </spPr>
            <trendlineType val="linear"/>
            <dispRSqr val="0"/>
            <dispEq val="0"/>
          </trendline>
          <cat>
            <strLit>
              <ptCount val="36"/>
              <pt idx="0">
                <v>0.4 MFRC-MFRC</v>
              </pt>
              <pt idx="1">
                <v>0.4 MFST-MFST</v>
              </pt>
              <pt idx="2">
                <v>0.4 BFCOST-BFCOST</v>
              </pt>
              <pt idx="3">
                <v>0.4 BFCTST-BFCTST</v>
              </pt>
              <pt idx="4">
                <v>0.4 BFIVST-BFIVST</v>
              </pt>
              <pt idx="5">
                <v>0.4 BFECST-BFECST</v>
              </pt>
              <pt idx="6">
                <v>0.4 MFRC-MFST</v>
              </pt>
              <pt idx="7">
                <v>0.4 MFRC-BFCOST</v>
              </pt>
              <pt idx="8">
                <v>0.4 MFRC-BFCTST</v>
              </pt>
              <pt idx="9">
                <v>0.4 MFRC-BFIVST</v>
              </pt>
              <pt idx="10">
                <v>0.4 MFRC-BFECST</v>
              </pt>
              <pt idx="11">
                <v>0.4 MFST-BFCOST</v>
              </pt>
              <pt idx="12">
                <v>0.4 MFST-BFCTST</v>
              </pt>
              <pt idx="13">
                <v>0.4 MFST-BFIVST</v>
              </pt>
              <pt idx="14">
                <v>0.4 MFST-BFECST</v>
              </pt>
              <pt idx="15">
                <v>0.4 BFCOST-BFCTST</v>
              </pt>
              <pt idx="16">
                <v>0.4 BFCOST-BFIVST</v>
              </pt>
              <pt idx="17">
                <v>0.4 BFCOST-BFECST</v>
              </pt>
              <pt idx="18">
                <v>0.4 BFCTST-BFIVST</v>
              </pt>
              <pt idx="19">
                <v>0.4 BFCTST-BFECST</v>
              </pt>
              <pt idx="20">
                <v>0.4 BFECST-BFIVST</v>
              </pt>
              <pt idx="21">
                <v>0.4 MFST-MFRC</v>
              </pt>
              <pt idx="22">
                <v>0.4 BFCOST-MFRC</v>
              </pt>
              <pt idx="23">
                <v>0.4 BFCTST-MFRC</v>
              </pt>
              <pt idx="24">
                <v>0.4 BFIVST-MFRC</v>
              </pt>
              <pt idx="25">
                <v>0.4 BFECST-MFRC</v>
              </pt>
              <pt idx="26">
                <v>0.4 BFCOST-MFST</v>
              </pt>
              <pt idx="27">
                <v>0.4 BFCTST-MFST</v>
              </pt>
              <pt idx="28">
                <v>0.4 BFIVST-MFST</v>
              </pt>
              <pt idx="29">
                <v>0.4 BFECST-MFST</v>
              </pt>
              <pt idx="30">
                <v>0.4 BFCTST-BFCOST</v>
              </pt>
              <pt idx="31">
                <v>0.4 BFIVST-BFCOST</v>
              </pt>
              <pt idx="32">
                <v>0.4 BFECST-BFCOST</v>
              </pt>
              <pt idx="33">
                <v>0.4 BFIVST-BFCTST</v>
              </pt>
              <pt idx="34">
                <v>0.4 BFECST-BFCTST</v>
              </pt>
              <pt idx="35">
                <v>0.4 BFIVST-BFECST</v>
              </pt>
            </strLit>
          </cat>
          <val>
            <numLit>
              <formatCode>General</formatCode>
              <ptCount val="36"/>
              <pt idx="0">
                <v>32</v>
              </pt>
              <pt idx="1">
                <v>38</v>
              </pt>
              <pt idx="6">
                <v>32</v>
              </pt>
              <pt idx="7">
                <v>32</v>
              </pt>
              <pt idx="8">
                <v>29</v>
              </pt>
              <pt idx="9">
                <v>31</v>
              </pt>
              <pt idx="10">
                <v>31</v>
              </pt>
              <pt idx="11">
                <v>20</v>
              </pt>
              <pt idx="12">
                <v>20</v>
              </pt>
              <pt idx="13">
                <v>21</v>
              </pt>
              <pt idx="14">
                <v>21</v>
              </pt>
              <pt idx="21">
                <v>41</v>
              </pt>
            </numLit>
          </val>
          <smooth val="0"/>
        </ser>
        <ser>
          <idx val="6"/>
          <order val="6"/>
          <tx>
            <v>Drift (S)x</v>
          </tx>
          <spPr>
            <a:ln w="254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prstDash val="solid"/>
              </a:ln>
            </spPr>
          </marker>
          <trendline>
            <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</spPr>
            <trendlineType val="linear"/>
            <dispRSqr val="0"/>
            <dispEq val="0"/>
          </trendline>
          <cat>
            <strLit>
              <ptCount val="36"/>
              <pt idx="0">
                <v>0.4 MFRC-MFRC</v>
              </pt>
              <pt idx="1">
                <v>0.4 MFST-MFST</v>
              </pt>
              <pt idx="2">
                <v>0.4 BFCOST-BFCOST</v>
              </pt>
              <pt idx="3">
                <v>0.4 BFCTST-BFCTST</v>
              </pt>
              <pt idx="4">
                <v>0.4 BFIVST-BFIVST</v>
              </pt>
              <pt idx="5">
                <v>0.4 BFECST-BFECST</v>
              </pt>
              <pt idx="6">
                <v>0.4 MFRC-MFST</v>
              </pt>
              <pt idx="7">
                <v>0.4 MFRC-BFCOST</v>
              </pt>
              <pt idx="8">
                <v>0.4 MFRC-BFCTST</v>
              </pt>
              <pt idx="9">
                <v>0.4 MFRC-BFIVST</v>
              </pt>
              <pt idx="10">
                <v>0.4 MFRC-BFECST</v>
              </pt>
              <pt idx="11">
                <v>0.4 MFST-BFCOST</v>
              </pt>
              <pt idx="12">
                <v>0.4 MFST-BFCTST</v>
              </pt>
              <pt idx="13">
                <v>0.4 MFST-BFIVST</v>
              </pt>
              <pt idx="14">
                <v>0.4 MFST-BFECST</v>
              </pt>
              <pt idx="15">
                <v>0.4 BFCOST-BFCTST</v>
              </pt>
              <pt idx="16">
                <v>0.4 BFCOST-BFIVST</v>
              </pt>
              <pt idx="17">
                <v>0.4 BFCOST-BFECST</v>
              </pt>
              <pt idx="18">
                <v>0.4 BFCTST-BFIVST</v>
              </pt>
              <pt idx="19">
                <v>0.4 BFCTST-BFECST</v>
              </pt>
              <pt idx="20">
                <v>0.4 BFECST-BFIVST</v>
              </pt>
              <pt idx="21">
                <v>0.4 MFST-MFRC</v>
              </pt>
              <pt idx="22">
                <v>0.4 BFCOST-MFRC</v>
              </pt>
              <pt idx="23">
                <v>0.4 BFCTST-MFRC</v>
              </pt>
              <pt idx="24">
                <v>0.4 BFIVST-MFRC</v>
              </pt>
              <pt idx="25">
                <v>0.4 BFECST-MFRC</v>
              </pt>
              <pt idx="26">
                <v>0.4 BFCOST-MFST</v>
              </pt>
              <pt idx="27">
                <v>0.4 BFCTST-MFST</v>
              </pt>
              <pt idx="28">
                <v>0.4 BFIVST-MFST</v>
              </pt>
              <pt idx="29">
                <v>0.4 BFECST-MFST</v>
              </pt>
              <pt idx="30">
                <v>0.4 BFCTST-BFCOST</v>
              </pt>
              <pt idx="31">
                <v>0.4 BFIVST-BFCOST</v>
              </pt>
              <pt idx="32">
                <v>0.4 BFECST-BFCOST</v>
              </pt>
              <pt idx="33">
                <v>0.4 BFIVST-BFCTST</v>
              </pt>
              <pt idx="34">
                <v>0.4 BFECST-BFCTST</v>
              </pt>
              <pt idx="35">
                <v>0.4 BFIVST-BFECST</v>
              </pt>
            </strLit>
          </cat>
          <val>
            <numLit>
              <formatCode>General</formatCode>
              <ptCount val="36"/>
              <pt idx="0">
                <v>50</v>
              </pt>
              <pt idx="1">
                <v>45</v>
              </pt>
              <pt idx="2">
                <v>57</v>
              </pt>
              <pt idx="3">
                <v>48</v>
              </pt>
              <pt idx="4">
                <v>71</v>
              </pt>
              <pt idx="5">
                <v>85</v>
              </pt>
              <pt idx="6">
                <v>51</v>
              </pt>
              <pt idx="7">
                <v>52</v>
              </pt>
              <pt idx="8">
                <v>43</v>
              </pt>
              <pt idx="9">
                <v>48</v>
              </pt>
              <pt idx="10">
                <v>48</v>
              </pt>
              <pt idx="11">
                <v>26</v>
              </pt>
              <pt idx="12">
                <v>26</v>
              </pt>
              <pt idx="13">
                <v>27</v>
              </pt>
              <pt idx="14">
                <v>27</v>
              </pt>
              <pt idx="15">
                <v>57</v>
              </pt>
              <pt idx="16">
                <v>58</v>
              </pt>
              <pt idx="17">
                <v>58</v>
              </pt>
              <pt idx="18">
                <v>48</v>
              </pt>
              <pt idx="19">
                <v>49</v>
              </pt>
              <pt idx="20">
                <v>84</v>
              </pt>
              <pt idx="21">
                <v>47</v>
              </pt>
              <pt idx="22">
                <v>50</v>
              </pt>
              <pt idx="23">
                <v>51</v>
              </pt>
              <pt idx="24">
                <v>74</v>
              </pt>
              <pt idx="25">
                <v>88</v>
              </pt>
              <pt idx="26">
                <v>56</v>
              </pt>
              <pt idx="27">
                <v>48</v>
              </pt>
              <pt idx="28">
                <v>69</v>
              </pt>
              <pt idx="29">
                <v>84</v>
              </pt>
              <pt idx="30">
                <v>48</v>
              </pt>
              <pt idx="31">
                <v>69</v>
              </pt>
              <pt idx="32">
                <v>83</v>
              </pt>
              <pt idx="33">
                <v>70</v>
              </pt>
              <pt idx="34">
                <v>83</v>
              </pt>
              <pt idx="35">
                <v>71</v>
              </pt>
            </numLit>
          </val>
          <smooth val="0"/>
        </ser>
        <ser>
          <idx val="7"/>
          <order val="7"/>
          <tx>
            <v>Braced (S)x</v>
          </tx>
          <spPr>
            <a:ln w="254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prstDash val="solid"/>
              </a:ln>
            </spPr>
          </marker>
          <trendline>
            <spPr>
              <a:ln w="19050" cap="rnd">
                <a:solidFill>
                  <a:schemeClr val="accent3">
                    <a:lumMod val="60000"/>
                  </a:schemeClr>
                </a:solidFill>
                <a:prstDash val="sysDot"/>
              </a:ln>
            </spPr>
            <trendlineType val="linear"/>
            <dispRSqr val="0"/>
            <dispEq val="0"/>
          </trendline>
          <cat>
            <strLit>
              <ptCount val="36"/>
              <pt idx="0">
                <v>0.4 MFRC-MFRC</v>
              </pt>
              <pt idx="1">
                <v>0.4 MFST-MFST</v>
              </pt>
              <pt idx="2">
                <v>0.4 BFCOST-BFCOST</v>
              </pt>
              <pt idx="3">
                <v>0.4 BFCTST-BFCTST</v>
              </pt>
              <pt idx="4">
                <v>0.4 BFIVST-BFIVST</v>
              </pt>
              <pt idx="5">
                <v>0.4 BFECST-BFECST</v>
              </pt>
              <pt idx="6">
                <v>0.4 MFRC-MFST</v>
              </pt>
              <pt idx="7">
                <v>0.4 MFRC-BFCOST</v>
              </pt>
              <pt idx="8">
                <v>0.4 MFRC-BFCTST</v>
              </pt>
              <pt idx="9">
                <v>0.4 MFRC-BFIVST</v>
              </pt>
              <pt idx="10">
                <v>0.4 MFRC-BFECST</v>
              </pt>
              <pt idx="11">
                <v>0.4 MFST-BFCOST</v>
              </pt>
              <pt idx="12">
                <v>0.4 MFST-BFCTST</v>
              </pt>
              <pt idx="13">
                <v>0.4 MFST-BFIVST</v>
              </pt>
              <pt idx="14">
                <v>0.4 MFST-BFECST</v>
              </pt>
              <pt idx="15">
                <v>0.4 BFCOST-BFCTST</v>
              </pt>
              <pt idx="16">
                <v>0.4 BFCOST-BFIVST</v>
              </pt>
              <pt idx="17">
                <v>0.4 BFCOST-BFECST</v>
              </pt>
              <pt idx="18">
                <v>0.4 BFCTST-BFIVST</v>
              </pt>
              <pt idx="19">
                <v>0.4 BFCTST-BFECST</v>
              </pt>
              <pt idx="20">
                <v>0.4 BFECST-BFIVST</v>
              </pt>
              <pt idx="21">
                <v>0.4 MFST-MFRC</v>
              </pt>
              <pt idx="22">
                <v>0.4 BFCOST-MFRC</v>
              </pt>
              <pt idx="23">
                <v>0.4 BFCTST-MFRC</v>
              </pt>
              <pt idx="24">
                <v>0.4 BFIVST-MFRC</v>
              </pt>
              <pt idx="25">
                <v>0.4 BFECST-MFRC</v>
              </pt>
              <pt idx="26">
                <v>0.4 BFCOST-MFST</v>
              </pt>
              <pt idx="27">
                <v>0.4 BFCTST-MFST</v>
              </pt>
              <pt idx="28">
                <v>0.4 BFIVST-MFST</v>
              </pt>
              <pt idx="29">
                <v>0.4 BFECST-MFST</v>
              </pt>
              <pt idx="30">
                <v>0.4 BFCTST-BFCOST</v>
              </pt>
              <pt idx="31">
                <v>0.4 BFIVST-BFCOST</v>
              </pt>
              <pt idx="32">
                <v>0.4 BFECST-BFCOST</v>
              </pt>
              <pt idx="33">
                <v>0.4 BFIVST-BFCTST</v>
              </pt>
              <pt idx="34">
                <v>0.4 BFECST-BFCTST</v>
              </pt>
              <pt idx="35">
                <v>0.4 BFIVST-BFECST</v>
              </pt>
            </strLit>
          </cat>
          <val>
            <numLit>
              <formatCode>General</formatCode>
              <ptCount val="36"/>
              <pt idx="2">
                <v>17</v>
              </pt>
              <pt idx="3">
                <v>18</v>
              </pt>
              <pt idx="4">
                <v>16</v>
              </pt>
              <pt idx="5">
                <v>25</v>
              </pt>
              <pt idx="15">
                <v>17</v>
              </pt>
              <pt idx="16">
                <v>17</v>
              </pt>
              <pt idx="17">
                <v>17</v>
              </pt>
              <pt idx="18">
                <v>18</v>
              </pt>
              <pt idx="19">
                <v>18</v>
              </pt>
              <pt idx="20">
                <v>25</v>
              </pt>
              <pt idx="22">
                <v>18</v>
              </pt>
              <pt idx="23">
                <v>19</v>
              </pt>
              <pt idx="24">
                <v>17</v>
              </pt>
              <pt idx="25">
                <v>26</v>
              </pt>
              <pt idx="26">
                <v>16</v>
              </pt>
              <pt idx="27">
                <v>18</v>
              </pt>
              <pt idx="28">
                <v>16</v>
              </pt>
              <pt idx="29">
                <v>25</v>
              </pt>
              <pt idx="30">
                <v>18</v>
              </pt>
              <pt idx="31">
                <v>16</v>
              </pt>
              <pt idx="32">
                <v>24</v>
              </pt>
              <pt idx="33">
                <v>16</v>
              </pt>
              <pt idx="34">
                <v>25</v>
              </pt>
              <pt idx="35">
                <v>16</v>
              </pt>
            </numLit>
          </val>
          <smooth val="0"/>
        </ser>
        <ser>
          <idx val="8"/>
          <order val="8"/>
          <tx>
            <v>Shear (U)y</v>
          </tx>
          <spPr>
            <a:ln w="254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prstDash val="solid"/>
              </a:ln>
            </spPr>
          </marker>
          <trendline>
            <spPr>
              <a:ln w="19050" cap="rnd">
                <a:solidFill>
                  <a:schemeClr val="accent4">
                    <a:lumMod val="60000"/>
                  </a:schemeClr>
                </a:solidFill>
                <a:prstDash val="sysDot"/>
              </a:ln>
            </spPr>
            <trendlineType val="linear"/>
            <dispRSqr val="0"/>
            <dispEq val="0"/>
          </trendline>
          <cat>
            <strLit>
              <ptCount val="36"/>
              <pt idx="0">
                <v>0.4 MFRC-MFRC</v>
              </pt>
              <pt idx="1">
                <v>0.4 MFST-MFST</v>
              </pt>
              <pt idx="2">
                <v>0.4 BFCOST-BFCOST</v>
              </pt>
              <pt idx="3">
                <v>0.4 BFCTST-BFCTST</v>
              </pt>
              <pt idx="4">
                <v>0.4 BFIVST-BFIVST</v>
              </pt>
              <pt idx="5">
                <v>0.4 BFECST-BFECST</v>
              </pt>
              <pt idx="6">
                <v>0.4 MFRC-MFST</v>
              </pt>
              <pt idx="7">
                <v>0.4 MFRC-BFCOST</v>
              </pt>
              <pt idx="8">
                <v>0.4 MFRC-BFCTST</v>
              </pt>
              <pt idx="9">
                <v>0.4 MFRC-BFIVST</v>
              </pt>
              <pt idx="10">
                <v>0.4 MFRC-BFECST</v>
              </pt>
              <pt idx="11">
                <v>0.4 MFST-BFCOST</v>
              </pt>
              <pt idx="12">
                <v>0.4 MFST-BFCTST</v>
              </pt>
              <pt idx="13">
                <v>0.4 MFST-BFIVST</v>
              </pt>
              <pt idx="14">
                <v>0.4 MFST-BFECST</v>
              </pt>
              <pt idx="15">
                <v>0.4 BFCOST-BFCTST</v>
              </pt>
              <pt idx="16">
                <v>0.4 BFCOST-BFIVST</v>
              </pt>
              <pt idx="17">
                <v>0.4 BFCOST-BFECST</v>
              </pt>
              <pt idx="18">
                <v>0.4 BFCTST-BFIVST</v>
              </pt>
              <pt idx="19">
                <v>0.4 BFCTST-BFECST</v>
              </pt>
              <pt idx="20">
                <v>0.4 BFECST-BFIVST</v>
              </pt>
              <pt idx="21">
                <v>0.4 MFST-MFRC</v>
              </pt>
              <pt idx="22">
                <v>0.4 BFCOST-MFRC</v>
              </pt>
              <pt idx="23">
                <v>0.4 BFCTST-MFRC</v>
              </pt>
              <pt idx="24">
                <v>0.4 BFIVST-MFRC</v>
              </pt>
              <pt idx="25">
                <v>0.4 BFECST-MFRC</v>
              </pt>
              <pt idx="26">
                <v>0.4 BFCOST-MFST</v>
              </pt>
              <pt idx="27">
                <v>0.4 BFCTST-MFST</v>
              </pt>
              <pt idx="28">
                <v>0.4 BFIVST-MFST</v>
              </pt>
              <pt idx="29">
                <v>0.4 BFECST-MFST</v>
              </pt>
              <pt idx="30">
                <v>0.4 BFCTST-BFCOST</v>
              </pt>
              <pt idx="31">
                <v>0.4 BFIVST-BFCOST</v>
              </pt>
              <pt idx="32">
                <v>0.4 BFECST-BFCOST</v>
              </pt>
              <pt idx="33">
                <v>0.4 BFIVST-BFCTST</v>
              </pt>
              <pt idx="34">
                <v>0.4 BFECST-BFCTST</v>
              </pt>
              <pt idx="35">
                <v>0.4 BFIVST-BFECST</v>
              </pt>
            </strLit>
          </cat>
          <val>
            <numLit>
              <formatCode>General</formatCode>
              <ptCount val="36"/>
              <pt idx="0">
                <v>67</v>
              </pt>
              <pt idx="1">
                <v>88</v>
              </pt>
              <pt idx="6">
                <v>50</v>
              </pt>
              <pt idx="21">
                <v>66</v>
              </pt>
              <pt idx="22">
                <v>66</v>
              </pt>
              <pt idx="23">
                <v>66</v>
              </pt>
              <pt idx="24">
                <v>67</v>
              </pt>
              <pt idx="25">
                <v>67</v>
              </pt>
              <pt idx="26">
                <v>47</v>
              </pt>
              <pt idx="27">
                <v>47</v>
              </pt>
              <pt idx="28">
                <v>47</v>
              </pt>
              <pt idx="29">
                <v>47</v>
              </pt>
            </numLit>
          </val>
          <smooth val="0"/>
        </ser>
        <ser>
          <idx val="9"/>
          <order val="9"/>
          <tx>
            <v>Moment (U)y</v>
          </tx>
          <spPr>
            <a:ln w="254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  <a:prstDash val="solid"/>
              </a:ln>
            </spPr>
          </marker>
          <trendline>
            <spPr>
              <a:ln w="19050" cap="rnd">
                <a:solidFill>
                  <a:schemeClr val="accent5">
                    <a:lumMod val="60000"/>
                  </a:schemeClr>
                </a:solidFill>
                <a:prstDash val="sysDot"/>
              </a:ln>
            </spPr>
            <trendlineType val="linear"/>
            <dispRSqr val="0"/>
            <dispEq val="0"/>
          </trendline>
          <cat>
            <strLit>
              <ptCount val="36"/>
              <pt idx="0">
                <v>0.4 MFRC-MFRC</v>
              </pt>
              <pt idx="1">
                <v>0.4 MFST-MFST</v>
              </pt>
              <pt idx="2">
                <v>0.4 BFCOST-BFCOST</v>
              </pt>
              <pt idx="3">
                <v>0.4 BFCTST-BFCTST</v>
              </pt>
              <pt idx="4">
                <v>0.4 BFIVST-BFIVST</v>
              </pt>
              <pt idx="5">
                <v>0.4 BFECST-BFECST</v>
              </pt>
              <pt idx="6">
                <v>0.4 MFRC-MFST</v>
              </pt>
              <pt idx="7">
                <v>0.4 MFRC-BFCOST</v>
              </pt>
              <pt idx="8">
                <v>0.4 MFRC-BFCTST</v>
              </pt>
              <pt idx="9">
                <v>0.4 MFRC-BFIVST</v>
              </pt>
              <pt idx="10">
                <v>0.4 MFRC-BFECST</v>
              </pt>
              <pt idx="11">
                <v>0.4 MFST-BFCOST</v>
              </pt>
              <pt idx="12">
                <v>0.4 MFST-BFCTST</v>
              </pt>
              <pt idx="13">
                <v>0.4 MFST-BFIVST</v>
              </pt>
              <pt idx="14">
                <v>0.4 MFST-BFECST</v>
              </pt>
              <pt idx="15">
                <v>0.4 BFCOST-BFCTST</v>
              </pt>
              <pt idx="16">
                <v>0.4 BFCOST-BFIVST</v>
              </pt>
              <pt idx="17">
                <v>0.4 BFCOST-BFECST</v>
              </pt>
              <pt idx="18">
                <v>0.4 BFCTST-BFIVST</v>
              </pt>
              <pt idx="19">
                <v>0.4 BFCTST-BFECST</v>
              </pt>
              <pt idx="20">
                <v>0.4 BFECST-BFIVST</v>
              </pt>
              <pt idx="21">
                <v>0.4 MFST-MFRC</v>
              </pt>
              <pt idx="22">
                <v>0.4 BFCOST-MFRC</v>
              </pt>
              <pt idx="23">
                <v>0.4 BFCTST-MFRC</v>
              </pt>
              <pt idx="24">
                <v>0.4 BFIVST-MFRC</v>
              </pt>
              <pt idx="25">
                <v>0.4 BFECST-MFRC</v>
              </pt>
              <pt idx="26">
                <v>0.4 BFCOST-MFST</v>
              </pt>
              <pt idx="27">
                <v>0.4 BFCTST-MFST</v>
              </pt>
              <pt idx="28">
                <v>0.4 BFIVST-MFST</v>
              </pt>
              <pt idx="29">
                <v>0.4 BFECST-MFST</v>
              </pt>
              <pt idx="30">
                <v>0.4 BFCTST-BFCOST</v>
              </pt>
              <pt idx="31">
                <v>0.4 BFIVST-BFCOST</v>
              </pt>
              <pt idx="32">
                <v>0.4 BFECST-BFCOST</v>
              </pt>
              <pt idx="33">
                <v>0.4 BFIVST-BFCTST</v>
              </pt>
              <pt idx="34">
                <v>0.4 BFECST-BFCTST</v>
              </pt>
              <pt idx="35">
                <v>0.4 BFIVST-BFECST</v>
              </pt>
            </strLit>
          </cat>
          <val>
            <numLit>
              <formatCode>General</formatCode>
              <ptCount val="36"/>
              <pt idx="0">
                <v>98</v>
              </pt>
              <pt idx="1">
                <v>80</v>
              </pt>
              <pt idx="6">
                <v>64</v>
              </pt>
              <pt idx="21">
                <v>98</v>
              </pt>
              <pt idx="22">
                <v>97</v>
              </pt>
              <pt idx="23">
                <v>98</v>
              </pt>
              <pt idx="24">
                <v>99</v>
              </pt>
              <pt idx="25">
                <v>100</v>
              </pt>
              <pt idx="26">
                <v>59</v>
              </pt>
              <pt idx="27">
                <v>60</v>
              </pt>
              <pt idx="28">
                <v>60</v>
              </pt>
              <pt idx="29">
                <v>60</v>
              </pt>
            </numLit>
          </val>
          <smooth val="0"/>
        </ser>
        <ser>
          <idx val="10"/>
          <order val="10"/>
          <tx>
            <v>Drift (U)y</v>
          </tx>
          <spPr>
            <a:ln w="254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  <a:prstDash val="solid"/>
              </a:ln>
            </spPr>
          </marker>
          <trendline>
            <spPr>
              <a:ln w="19050" cap="rnd">
                <a:solidFill>
                  <a:schemeClr val="accent6">
                    <a:lumMod val="60000"/>
                  </a:schemeClr>
                </a:solidFill>
                <a:prstDash val="sysDot"/>
              </a:ln>
            </spPr>
            <trendlineType val="linear"/>
            <dispRSqr val="0"/>
            <dispEq val="0"/>
          </trendline>
          <cat>
            <strLit>
              <ptCount val="36"/>
              <pt idx="0">
                <v>0.4 MFRC-MFRC</v>
              </pt>
              <pt idx="1">
                <v>0.4 MFST-MFST</v>
              </pt>
              <pt idx="2">
                <v>0.4 BFCOST-BFCOST</v>
              </pt>
              <pt idx="3">
                <v>0.4 BFCTST-BFCTST</v>
              </pt>
              <pt idx="4">
                <v>0.4 BFIVST-BFIVST</v>
              </pt>
              <pt idx="5">
                <v>0.4 BFECST-BFECST</v>
              </pt>
              <pt idx="6">
                <v>0.4 MFRC-MFST</v>
              </pt>
              <pt idx="7">
                <v>0.4 MFRC-BFCOST</v>
              </pt>
              <pt idx="8">
                <v>0.4 MFRC-BFCTST</v>
              </pt>
              <pt idx="9">
                <v>0.4 MFRC-BFIVST</v>
              </pt>
              <pt idx="10">
                <v>0.4 MFRC-BFECST</v>
              </pt>
              <pt idx="11">
                <v>0.4 MFST-BFCOST</v>
              </pt>
              <pt idx="12">
                <v>0.4 MFST-BFCTST</v>
              </pt>
              <pt idx="13">
                <v>0.4 MFST-BFIVST</v>
              </pt>
              <pt idx="14">
                <v>0.4 MFST-BFECST</v>
              </pt>
              <pt idx="15">
                <v>0.4 BFCOST-BFCTST</v>
              </pt>
              <pt idx="16">
                <v>0.4 BFCOST-BFIVST</v>
              </pt>
              <pt idx="17">
                <v>0.4 BFCOST-BFECST</v>
              </pt>
              <pt idx="18">
                <v>0.4 BFCTST-BFIVST</v>
              </pt>
              <pt idx="19">
                <v>0.4 BFCTST-BFECST</v>
              </pt>
              <pt idx="20">
                <v>0.4 BFECST-BFIVST</v>
              </pt>
              <pt idx="21">
                <v>0.4 MFST-MFRC</v>
              </pt>
              <pt idx="22">
                <v>0.4 BFCOST-MFRC</v>
              </pt>
              <pt idx="23">
                <v>0.4 BFCTST-MFRC</v>
              </pt>
              <pt idx="24">
                <v>0.4 BFIVST-MFRC</v>
              </pt>
              <pt idx="25">
                <v>0.4 BFECST-MFRC</v>
              </pt>
              <pt idx="26">
                <v>0.4 BFCOST-MFST</v>
              </pt>
              <pt idx="27">
                <v>0.4 BFCTST-MFST</v>
              </pt>
              <pt idx="28">
                <v>0.4 BFIVST-MFST</v>
              </pt>
              <pt idx="29">
                <v>0.4 BFECST-MFST</v>
              </pt>
              <pt idx="30">
                <v>0.4 BFCTST-BFCOST</v>
              </pt>
              <pt idx="31">
                <v>0.4 BFIVST-BFCOST</v>
              </pt>
              <pt idx="32">
                <v>0.4 BFECST-BFCOST</v>
              </pt>
              <pt idx="33">
                <v>0.4 BFIVST-BFCTST</v>
              </pt>
              <pt idx="34">
                <v>0.4 BFECST-BFCTST</v>
              </pt>
              <pt idx="35">
                <v>0.4 BFIVST-BFECST</v>
              </pt>
            </strLit>
          </cat>
          <val>
            <numLit>
              <formatCode>General</formatCode>
              <ptCount val="36"/>
              <pt idx="0">
                <v>77</v>
              </pt>
              <pt idx="1">
                <v>37</v>
              </pt>
              <pt idx="2">
                <v>48</v>
              </pt>
              <pt idx="3">
                <v>41</v>
              </pt>
              <pt idx="4">
                <v>60</v>
              </pt>
              <pt idx="5">
                <v>75</v>
              </pt>
              <pt idx="6">
                <v>23</v>
              </pt>
              <pt idx="7">
                <v>42</v>
              </pt>
              <pt idx="8">
                <v>44</v>
              </pt>
              <pt idx="9">
                <v>63</v>
              </pt>
              <pt idx="10">
                <v>76</v>
              </pt>
              <pt idx="11">
                <v>48</v>
              </pt>
              <pt idx="12">
                <v>41</v>
              </pt>
              <pt idx="13">
                <v>59</v>
              </pt>
              <pt idx="14">
                <v>73</v>
              </pt>
              <pt idx="15">
                <v>41</v>
              </pt>
              <pt idx="16">
                <v>59</v>
              </pt>
              <pt idx="17">
                <v>74</v>
              </pt>
              <pt idx="18">
                <v>59</v>
              </pt>
              <pt idx="19">
                <v>75</v>
              </pt>
              <pt idx="20">
                <v>61</v>
              </pt>
              <pt idx="21">
                <v>80</v>
              </pt>
              <pt idx="22">
                <v>79</v>
              </pt>
              <pt idx="23">
                <v>80</v>
              </pt>
              <pt idx="24">
                <v>80</v>
              </pt>
              <pt idx="25">
                <v>81</v>
              </pt>
              <pt idx="26">
                <v>21</v>
              </pt>
              <pt idx="27">
                <v>21</v>
              </pt>
              <pt idx="28">
                <v>22</v>
              </pt>
              <pt idx="29">
                <v>22</v>
              </pt>
              <pt idx="30">
                <v>48</v>
              </pt>
              <pt idx="31">
                <v>41</v>
              </pt>
              <pt idx="32">
                <v>41</v>
              </pt>
              <pt idx="33">
                <v>41</v>
              </pt>
              <pt idx="34">
                <v>42</v>
              </pt>
              <pt idx="35">
                <v>75</v>
              </pt>
            </numLit>
          </val>
          <smooth val="0"/>
        </ser>
        <ser>
          <idx val="11"/>
          <order val="11"/>
          <tx>
            <v>Braced (U)y</v>
          </tx>
          <spPr>
            <a:ln w="254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  <a:prstDash val="solid"/>
              </a:ln>
            </spPr>
          </marker>
          <trendline>
            <spPr>
              <a:ln w="19050" cap="rnd">
                <a:solidFill>
                  <a:schemeClr val="accent1">
                    <a:lumMod val="80000"/>
                    <a:lumOff val="20000"/>
                  </a:schemeClr>
                </a:solidFill>
                <a:prstDash val="sysDot"/>
              </a:ln>
            </spPr>
            <trendlineType val="linear"/>
            <dispRSqr val="0"/>
            <dispEq val="0"/>
          </trendline>
          <cat>
            <strLit>
              <ptCount val="36"/>
              <pt idx="0">
                <v>0.4 MFRC-MFRC</v>
              </pt>
              <pt idx="1">
                <v>0.4 MFST-MFST</v>
              </pt>
              <pt idx="2">
                <v>0.4 BFCOST-BFCOST</v>
              </pt>
              <pt idx="3">
                <v>0.4 BFCTST-BFCTST</v>
              </pt>
              <pt idx="4">
                <v>0.4 BFIVST-BFIVST</v>
              </pt>
              <pt idx="5">
                <v>0.4 BFECST-BFECST</v>
              </pt>
              <pt idx="6">
                <v>0.4 MFRC-MFST</v>
              </pt>
              <pt idx="7">
                <v>0.4 MFRC-BFCOST</v>
              </pt>
              <pt idx="8">
                <v>0.4 MFRC-BFCTST</v>
              </pt>
              <pt idx="9">
                <v>0.4 MFRC-BFIVST</v>
              </pt>
              <pt idx="10">
                <v>0.4 MFRC-BFECST</v>
              </pt>
              <pt idx="11">
                <v>0.4 MFST-BFCOST</v>
              </pt>
              <pt idx="12">
                <v>0.4 MFST-BFCTST</v>
              </pt>
              <pt idx="13">
                <v>0.4 MFST-BFIVST</v>
              </pt>
              <pt idx="14">
                <v>0.4 MFST-BFECST</v>
              </pt>
              <pt idx="15">
                <v>0.4 BFCOST-BFCTST</v>
              </pt>
              <pt idx="16">
                <v>0.4 BFCOST-BFIVST</v>
              </pt>
              <pt idx="17">
                <v>0.4 BFCOST-BFECST</v>
              </pt>
              <pt idx="18">
                <v>0.4 BFCTST-BFIVST</v>
              </pt>
              <pt idx="19">
                <v>0.4 BFCTST-BFECST</v>
              </pt>
              <pt idx="20">
                <v>0.4 BFECST-BFIVST</v>
              </pt>
              <pt idx="21">
                <v>0.4 MFST-MFRC</v>
              </pt>
              <pt idx="22">
                <v>0.4 BFCOST-MFRC</v>
              </pt>
              <pt idx="23">
                <v>0.4 BFCTST-MFRC</v>
              </pt>
              <pt idx="24">
                <v>0.4 BFIVST-MFRC</v>
              </pt>
              <pt idx="25">
                <v>0.4 BFECST-MFRC</v>
              </pt>
              <pt idx="26">
                <v>0.4 BFCOST-MFST</v>
              </pt>
              <pt idx="27">
                <v>0.4 BFCTST-MFST</v>
              </pt>
              <pt idx="28">
                <v>0.4 BFIVST-MFST</v>
              </pt>
              <pt idx="29">
                <v>0.4 BFECST-MFST</v>
              </pt>
              <pt idx="30">
                <v>0.4 BFCTST-BFCOST</v>
              </pt>
              <pt idx="31">
                <v>0.4 BFIVST-BFCOST</v>
              </pt>
              <pt idx="32">
                <v>0.4 BFECST-BFCOST</v>
              </pt>
              <pt idx="33">
                <v>0.4 BFIVST-BFCTST</v>
              </pt>
              <pt idx="34">
                <v>0.4 BFECST-BFCTST</v>
              </pt>
              <pt idx="35">
                <v>0.4 BFIVST-BFECST</v>
              </pt>
            </strLit>
          </cat>
          <val>
            <numLit>
              <formatCode>General</formatCode>
              <ptCount val="36"/>
              <pt idx="2">
                <v>86</v>
              </pt>
              <pt idx="3">
                <v>92</v>
              </pt>
              <pt idx="4">
                <v>82</v>
              </pt>
              <pt idx="5">
                <v>51</v>
              </pt>
              <pt idx="7">
                <v>93</v>
              </pt>
              <pt idx="8">
                <v>98</v>
              </pt>
              <pt idx="9">
                <v>86</v>
              </pt>
              <pt idx="10">
                <v>52</v>
              </pt>
              <pt idx="11">
                <v>85</v>
              </pt>
              <pt idx="12">
                <v>91</v>
              </pt>
              <pt idx="13">
                <v>80</v>
              </pt>
              <pt idx="14">
                <v>49</v>
              </pt>
              <pt idx="15">
                <v>92</v>
              </pt>
              <pt idx="16">
                <v>80</v>
              </pt>
              <pt idx="17">
                <v>50</v>
              </pt>
              <pt idx="18">
                <v>81</v>
              </pt>
              <pt idx="19">
                <v>50</v>
              </pt>
              <pt idx="20">
                <v>82</v>
              </pt>
              <pt idx="30">
                <v>86</v>
              </pt>
              <pt idx="31">
                <v>88</v>
              </pt>
              <pt idx="32">
                <v>89</v>
              </pt>
              <pt idx="33">
                <v>93</v>
              </pt>
              <pt idx="34">
                <v>94</v>
              </pt>
              <pt idx="35">
                <v>51</v>
              </pt>
            </numLit>
          </val>
          <smooth val="0"/>
        </ser>
        <ser>
          <idx val="12"/>
          <order val="12"/>
          <tx>
            <v>Shear (S)y</v>
          </tx>
          <spPr>
            <a:ln w="254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  <a:prstDash val="solid"/>
              </a:ln>
            </spPr>
          </marker>
          <cat>
            <strLit>
              <ptCount val="36"/>
              <pt idx="0">
                <v>0.4 MFRC-MFRC</v>
              </pt>
              <pt idx="1">
                <v>0.4 MFST-MFST</v>
              </pt>
              <pt idx="2">
                <v>0.4 BFCOST-BFCOST</v>
              </pt>
              <pt idx="3">
                <v>0.4 BFCTST-BFCTST</v>
              </pt>
              <pt idx="4">
                <v>0.4 BFIVST-BFIVST</v>
              </pt>
              <pt idx="5">
                <v>0.4 BFECST-BFECST</v>
              </pt>
              <pt idx="6">
                <v>0.4 MFRC-MFST</v>
              </pt>
              <pt idx="7">
                <v>0.4 MFRC-BFCOST</v>
              </pt>
              <pt idx="8">
                <v>0.4 MFRC-BFCTST</v>
              </pt>
              <pt idx="9">
                <v>0.4 MFRC-BFIVST</v>
              </pt>
              <pt idx="10">
                <v>0.4 MFRC-BFECST</v>
              </pt>
              <pt idx="11">
                <v>0.4 MFST-BFCOST</v>
              </pt>
              <pt idx="12">
                <v>0.4 MFST-BFCTST</v>
              </pt>
              <pt idx="13">
                <v>0.4 MFST-BFIVST</v>
              </pt>
              <pt idx="14">
                <v>0.4 MFST-BFECST</v>
              </pt>
              <pt idx="15">
                <v>0.4 BFCOST-BFCTST</v>
              </pt>
              <pt idx="16">
                <v>0.4 BFCOST-BFIVST</v>
              </pt>
              <pt idx="17">
                <v>0.4 BFCOST-BFECST</v>
              </pt>
              <pt idx="18">
                <v>0.4 BFCTST-BFIVST</v>
              </pt>
              <pt idx="19">
                <v>0.4 BFCTST-BFECST</v>
              </pt>
              <pt idx="20">
                <v>0.4 BFECST-BFIVST</v>
              </pt>
              <pt idx="21">
                <v>0.4 MFST-MFRC</v>
              </pt>
              <pt idx="22">
                <v>0.4 BFCOST-MFRC</v>
              </pt>
              <pt idx="23">
                <v>0.4 BFCTST-MFRC</v>
              </pt>
              <pt idx="24">
                <v>0.4 BFIVST-MFRC</v>
              </pt>
              <pt idx="25">
                <v>0.4 BFECST-MFRC</v>
              </pt>
              <pt idx="26">
                <v>0.4 BFCOST-MFST</v>
              </pt>
              <pt idx="27">
                <v>0.4 BFCTST-MFST</v>
              </pt>
              <pt idx="28">
                <v>0.4 BFIVST-MFST</v>
              </pt>
              <pt idx="29">
                <v>0.4 BFECST-MFST</v>
              </pt>
              <pt idx="30">
                <v>0.4 BFCTST-BFCOST</v>
              </pt>
              <pt idx="31">
                <v>0.4 BFIVST-BFCOST</v>
              </pt>
              <pt idx="32">
                <v>0.4 BFECST-BFCOST</v>
              </pt>
              <pt idx="33">
                <v>0.4 BFIVST-BFCTST</v>
              </pt>
              <pt idx="34">
                <v>0.4 BFECST-BFCTST</v>
              </pt>
              <pt idx="35">
                <v>0.4 BFIVST-BFECST</v>
              </pt>
            </strLit>
          </cat>
          <val>
            <numLit>
              <formatCode>General</formatCode>
              <ptCount val="36"/>
              <pt idx="0">
                <v>27</v>
              </pt>
              <pt idx="1">
                <v>50</v>
              </pt>
              <pt idx="6">
                <v>28</v>
              </pt>
              <pt idx="21">
                <v>27</v>
              </pt>
              <pt idx="22">
                <v>27</v>
              </pt>
              <pt idx="23">
                <v>27</v>
              </pt>
              <pt idx="24">
                <v>27</v>
              </pt>
              <pt idx="25">
                <v>28</v>
              </pt>
              <pt idx="26">
                <v>26</v>
              </pt>
              <pt idx="27">
                <v>27</v>
              </pt>
              <pt idx="28">
                <v>27</v>
              </pt>
              <pt idx="29">
                <v>27</v>
              </pt>
            </numLit>
          </val>
          <smooth val="0"/>
        </ser>
        <ser>
          <idx val="13"/>
          <order val="13"/>
          <tx>
            <v>Moment (S)y</v>
          </tx>
          <spPr>
            <a:ln w="254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  <a:prstDash val="solid"/>
              </a:ln>
            </spPr>
          </marker>
          <trendline>
            <spPr>
              <a:ln w="19050" cap="rnd">
                <a:solidFill>
                  <a:schemeClr val="accent3">
                    <a:lumMod val="80000"/>
                    <a:lumOff val="20000"/>
                  </a:schemeClr>
                </a:solidFill>
                <a:prstDash val="sysDot"/>
              </a:ln>
            </spPr>
            <trendlineType val="linear"/>
            <dispRSqr val="0"/>
            <dispEq val="0"/>
          </trendline>
          <cat>
            <strLit>
              <ptCount val="36"/>
              <pt idx="0">
                <v>0.4 MFRC-MFRC</v>
              </pt>
              <pt idx="1">
                <v>0.4 MFST-MFST</v>
              </pt>
              <pt idx="2">
                <v>0.4 BFCOST-BFCOST</v>
              </pt>
              <pt idx="3">
                <v>0.4 BFCTST-BFCTST</v>
              </pt>
              <pt idx="4">
                <v>0.4 BFIVST-BFIVST</v>
              </pt>
              <pt idx="5">
                <v>0.4 BFECST-BFECST</v>
              </pt>
              <pt idx="6">
                <v>0.4 MFRC-MFST</v>
              </pt>
              <pt idx="7">
                <v>0.4 MFRC-BFCOST</v>
              </pt>
              <pt idx="8">
                <v>0.4 MFRC-BFCTST</v>
              </pt>
              <pt idx="9">
                <v>0.4 MFRC-BFIVST</v>
              </pt>
              <pt idx="10">
                <v>0.4 MFRC-BFECST</v>
              </pt>
              <pt idx="11">
                <v>0.4 MFST-BFCOST</v>
              </pt>
              <pt idx="12">
                <v>0.4 MFST-BFCTST</v>
              </pt>
              <pt idx="13">
                <v>0.4 MFST-BFIVST</v>
              </pt>
              <pt idx="14">
                <v>0.4 MFST-BFECST</v>
              </pt>
              <pt idx="15">
                <v>0.4 BFCOST-BFCTST</v>
              </pt>
              <pt idx="16">
                <v>0.4 BFCOST-BFIVST</v>
              </pt>
              <pt idx="17">
                <v>0.4 BFCOST-BFECST</v>
              </pt>
              <pt idx="18">
                <v>0.4 BFCTST-BFIVST</v>
              </pt>
              <pt idx="19">
                <v>0.4 BFCTST-BFECST</v>
              </pt>
              <pt idx="20">
                <v>0.4 BFECST-BFIVST</v>
              </pt>
              <pt idx="21">
                <v>0.4 MFST-MFRC</v>
              </pt>
              <pt idx="22">
                <v>0.4 BFCOST-MFRC</v>
              </pt>
              <pt idx="23">
                <v>0.4 BFCTST-MFRC</v>
              </pt>
              <pt idx="24">
                <v>0.4 BFIVST-MFRC</v>
              </pt>
              <pt idx="25">
                <v>0.4 BFECST-MFRC</v>
              </pt>
              <pt idx="26">
                <v>0.4 BFCOST-MFST</v>
              </pt>
              <pt idx="27">
                <v>0.4 BFCTST-MFST</v>
              </pt>
              <pt idx="28">
                <v>0.4 BFIVST-MFST</v>
              </pt>
              <pt idx="29">
                <v>0.4 BFECST-MFST</v>
              </pt>
              <pt idx="30">
                <v>0.4 BFCTST-BFCOST</v>
              </pt>
              <pt idx="31">
                <v>0.4 BFIVST-BFCOST</v>
              </pt>
              <pt idx="32">
                <v>0.4 BFECST-BFCOST</v>
              </pt>
              <pt idx="33">
                <v>0.4 BFIVST-BFCTST</v>
              </pt>
              <pt idx="34">
                <v>0.4 BFECST-BFCTST</v>
              </pt>
              <pt idx="35">
                <v>0.4 BFIVST-BFECST</v>
              </pt>
            </strLit>
          </cat>
          <val>
            <numLit>
              <formatCode>General</formatCode>
              <ptCount val="36"/>
              <pt idx="0">
                <v>31</v>
              </pt>
              <pt idx="1">
                <v>40</v>
              </pt>
              <pt idx="6">
                <v>22</v>
              </pt>
              <pt idx="21">
                <v>31</v>
              </pt>
              <pt idx="22">
                <v>31</v>
              </pt>
              <pt idx="23">
                <v>31</v>
              </pt>
              <pt idx="24">
                <v>31</v>
              </pt>
              <pt idx="25">
                <v>31</v>
              </pt>
              <pt idx="26">
                <v>21</v>
              </pt>
              <pt idx="27">
                <v>21</v>
              </pt>
              <pt idx="28">
                <v>21</v>
              </pt>
              <pt idx="29">
                <v>21</v>
              </pt>
            </numLit>
          </val>
          <smooth val="0"/>
        </ser>
        <ser>
          <idx val="14"/>
          <order val="14"/>
          <tx>
            <v>Drift (S)y</v>
          </tx>
          <spPr>
            <a:ln w="254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  <a:prstDash val="solid"/>
              </a:ln>
            </spPr>
          </marker>
          <cat>
            <strLit>
              <ptCount val="36"/>
              <pt idx="0">
                <v>0.4 MFRC-MFRC</v>
              </pt>
              <pt idx="1">
                <v>0.4 MFST-MFST</v>
              </pt>
              <pt idx="2">
                <v>0.4 BFCOST-BFCOST</v>
              </pt>
              <pt idx="3">
                <v>0.4 BFCTST-BFCTST</v>
              </pt>
              <pt idx="4">
                <v>0.4 BFIVST-BFIVST</v>
              </pt>
              <pt idx="5">
                <v>0.4 BFECST-BFECST</v>
              </pt>
              <pt idx="6">
                <v>0.4 MFRC-MFST</v>
              </pt>
              <pt idx="7">
                <v>0.4 MFRC-BFCOST</v>
              </pt>
              <pt idx="8">
                <v>0.4 MFRC-BFCTST</v>
              </pt>
              <pt idx="9">
                <v>0.4 MFRC-BFIVST</v>
              </pt>
              <pt idx="10">
                <v>0.4 MFRC-BFECST</v>
              </pt>
              <pt idx="11">
                <v>0.4 MFST-BFCOST</v>
              </pt>
              <pt idx="12">
                <v>0.4 MFST-BFCTST</v>
              </pt>
              <pt idx="13">
                <v>0.4 MFST-BFIVST</v>
              </pt>
              <pt idx="14">
                <v>0.4 MFST-BFECST</v>
              </pt>
              <pt idx="15">
                <v>0.4 BFCOST-BFCTST</v>
              </pt>
              <pt idx="16">
                <v>0.4 BFCOST-BFIVST</v>
              </pt>
              <pt idx="17">
                <v>0.4 BFCOST-BFECST</v>
              </pt>
              <pt idx="18">
                <v>0.4 BFCTST-BFIVST</v>
              </pt>
              <pt idx="19">
                <v>0.4 BFCTST-BFECST</v>
              </pt>
              <pt idx="20">
                <v>0.4 BFECST-BFIVST</v>
              </pt>
              <pt idx="21">
                <v>0.4 MFST-MFRC</v>
              </pt>
              <pt idx="22">
                <v>0.4 BFCOST-MFRC</v>
              </pt>
              <pt idx="23">
                <v>0.4 BFCTST-MFRC</v>
              </pt>
              <pt idx="24">
                <v>0.4 BFIVST-MFRC</v>
              </pt>
              <pt idx="25">
                <v>0.4 BFECST-MFRC</v>
              </pt>
              <pt idx="26">
                <v>0.4 BFCOST-MFST</v>
              </pt>
              <pt idx="27">
                <v>0.4 BFCTST-MFST</v>
              </pt>
              <pt idx="28">
                <v>0.4 BFIVST-MFST</v>
              </pt>
              <pt idx="29">
                <v>0.4 BFECST-MFST</v>
              </pt>
              <pt idx="30">
                <v>0.4 BFCTST-BFCOST</v>
              </pt>
              <pt idx="31">
                <v>0.4 BFIVST-BFCOST</v>
              </pt>
              <pt idx="32">
                <v>0.4 BFECST-BFCOST</v>
              </pt>
              <pt idx="33">
                <v>0.4 BFIVST-BFCTST</v>
              </pt>
              <pt idx="34">
                <v>0.4 BFECST-BFCTST</v>
              </pt>
              <pt idx="35">
                <v>0.4 BFIVST-BFECST</v>
              </pt>
            </strLit>
          </cat>
          <val>
            <numLit>
              <formatCode>General</formatCode>
              <ptCount val="36"/>
              <pt idx="0">
                <v>47</v>
              </pt>
              <pt idx="1">
                <v>46</v>
              </pt>
              <pt idx="2">
                <v>58</v>
              </pt>
              <pt idx="3">
                <v>49</v>
              </pt>
              <pt idx="4">
                <v>72</v>
              </pt>
              <pt idx="5">
                <v>87</v>
              </pt>
              <pt idx="6">
                <v>29</v>
              </pt>
              <pt idx="7">
                <v>51</v>
              </pt>
              <pt idx="8">
                <v>53</v>
              </pt>
              <pt idx="9">
                <v>76</v>
              </pt>
              <pt idx="10">
                <v>90</v>
              </pt>
              <pt idx="11">
                <v>58</v>
              </pt>
              <pt idx="12">
                <v>49</v>
              </pt>
              <pt idx="13">
                <v>71</v>
              </pt>
              <pt idx="14">
                <v>85</v>
              </pt>
              <pt idx="15">
                <v>49</v>
              </pt>
              <pt idx="16">
                <v>71</v>
              </pt>
              <pt idx="17">
                <v>85</v>
              </pt>
              <pt idx="18">
                <v>72</v>
              </pt>
              <pt idx="19">
                <v>86</v>
              </pt>
              <pt idx="20">
                <v>73</v>
              </pt>
              <pt idx="21">
                <v>49</v>
              </pt>
              <pt idx="22">
                <v>48</v>
              </pt>
              <pt idx="23">
                <v>49</v>
              </pt>
              <pt idx="24">
                <v>49</v>
              </pt>
              <pt idx="25">
                <v>49</v>
              </pt>
              <pt idx="26">
                <v>27</v>
              </pt>
              <pt idx="27">
                <v>27</v>
              </pt>
              <pt idx="28">
                <v>27</v>
              </pt>
              <pt idx="29">
                <v>27</v>
              </pt>
              <pt idx="30">
                <v>48</v>
              </pt>
              <pt idx="31">
                <v>49</v>
              </pt>
              <pt idx="32">
                <v>49</v>
              </pt>
              <pt idx="33">
                <v>50</v>
              </pt>
              <pt idx="34">
                <v>50</v>
              </pt>
              <pt idx="35">
                <v>86</v>
              </pt>
            </numLit>
          </val>
          <smooth val="0"/>
        </ser>
        <ser>
          <idx val="15"/>
          <order val="15"/>
          <tx>
            <v>Braced (S)y</v>
          </tx>
          <spPr>
            <a:ln w="254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  <a:prstDash val="solid"/>
              </a:ln>
            </spPr>
          </marker>
          <cat>
            <strLit>
              <ptCount val="36"/>
              <pt idx="0">
                <v>0.4 MFRC-MFRC</v>
              </pt>
              <pt idx="1">
                <v>0.4 MFST-MFST</v>
              </pt>
              <pt idx="2">
                <v>0.4 BFCOST-BFCOST</v>
              </pt>
              <pt idx="3">
                <v>0.4 BFCTST-BFCTST</v>
              </pt>
              <pt idx="4">
                <v>0.4 BFIVST-BFIVST</v>
              </pt>
              <pt idx="5">
                <v>0.4 BFECST-BFECST</v>
              </pt>
              <pt idx="6">
                <v>0.4 MFRC-MFST</v>
              </pt>
              <pt idx="7">
                <v>0.4 MFRC-BFCOST</v>
              </pt>
              <pt idx="8">
                <v>0.4 MFRC-BFCTST</v>
              </pt>
              <pt idx="9">
                <v>0.4 MFRC-BFIVST</v>
              </pt>
              <pt idx="10">
                <v>0.4 MFRC-BFECST</v>
              </pt>
              <pt idx="11">
                <v>0.4 MFST-BFCOST</v>
              </pt>
              <pt idx="12">
                <v>0.4 MFST-BFCTST</v>
              </pt>
              <pt idx="13">
                <v>0.4 MFST-BFIVST</v>
              </pt>
              <pt idx="14">
                <v>0.4 MFST-BFECST</v>
              </pt>
              <pt idx="15">
                <v>0.4 BFCOST-BFCTST</v>
              </pt>
              <pt idx="16">
                <v>0.4 BFCOST-BFIVST</v>
              </pt>
              <pt idx="17">
                <v>0.4 BFCOST-BFECST</v>
              </pt>
              <pt idx="18">
                <v>0.4 BFCTST-BFIVST</v>
              </pt>
              <pt idx="19">
                <v>0.4 BFCTST-BFECST</v>
              </pt>
              <pt idx="20">
                <v>0.4 BFECST-BFIVST</v>
              </pt>
              <pt idx="21">
                <v>0.4 MFST-MFRC</v>
              </pt>
              <pt idx="22">
                <v>0.4 BFCOST-MFRC</v>
              </pt>
              <pt idx="23">
                <v>0.4 BFCTST-MFRC</v>
              </pt>
              <pt idx="24">
                <v>0.4 BFIVST-MFRC</v>
              </pt>
              <pt idx="25">
                <v>0.4 BFECST-MFRC</v>
              </pt>
              <pt idx="26">
                <v>0.4 BFCOST-MFST</v>
              </pt>
              <pt idx="27">
                <v>0.4 BFCTST-MFST</v>
              </pt>
              <pt idx="28">
                <v>0.4 BFIVST-MFST</v>
              </pt>
              <pt idx="29">
                <v>0.4 BFECST-MFST</v>
              </pt>
              <pt idx="30">
                <v>0.4 BFCTST-BFCOST</v>
              </pt>
              <pt idx="31">
                <v>0.4 BFIVST-BFCOST</v>
              </pt>
              <pt idx="32">
                <v>0.4 BFECST-BFCOST</v>
              </pt>
              <pt idx="33">
                <v>0.4 BFIVST-BFCTST</v>
              </pt>
              <pt idx="34">
                <v>0.4 BFECST-BFCTST</v>
              </pt>
              <pt idx="35">
                <v>0.4 BFIVST-BFECST</v>
              </pt>
            </strLit>
          </cat>
          <val>
            <numLit>
              <formatCode>General</formatCode>
              <ptCount val="36"/>
              <pt idx="2">
                <v>17</v>
              </pt>
              <pt idx="3">
                <v>18</v>
              </pt>
              <pt idx="4">
                <v>16</v>
              </pt>
              <pt idx="5">
                <v>26</v>
              </pt>
              <pt idx="7">
                <v>19</v>
              </pt>
              <pt idx="8">
                <v>20</v>
              </pt>
              <pt idx="9">
                <v>17</v>
              </pt>
              <pt idx="10">
                <v>27</v>
              </pt>
              <pt idx="11">
                <v>17</v>
              </pt>
              <pt idx="12">
                <v>18</v>
              </pt>
              <pt idx="13">
                <v>16</v>
              </pt>
              <pt idx="14">
                <v>25</v>
              </pt>
              <pt idx="15">
                <v>18</v>
              </pt>
              <pt idx="16">
                <v>16</v>
              </pt>
              <pt idx="17">
                <v>25</v>
              </pt>
              <pt idx="18">
                <v>16</v>
              </pt>
              <pt idx="19">
                <v>25</v>
              </pt>
              <pt idx="20">
                <v>17</v>
              </pt>
              <pt idx="30">
                <v>17</v>
              </pt>
              <pt idx="31">
                <v>18</v>
              </pt>
              <pt idx="32">
                <v>18</v>
              </pt>
              <pt idx="33">
                <v>19</v>
              </pt>
              <pt idx="34">
                <v>19</v>
              </pt>
              <pt idx="35">
                <v>26</v>
              </pt>
            </numLit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286237264"/>
        <axId val="1286246864"/>
      </lineChart>
      <catAx>
        <axId val="128623726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86246864"/>
        <crosses val="autoZero"/>
        <auto val="1"/>
        <lblAlgn val="ctr"/>
        <lblOffset val="100"/>
        <noMultiLvlLbl val="0"/>
      </catAx>
      <valAx>
        <axId val="128624686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86237264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0278209292710835"/>
          <y val="0.7089207572291858"/>
          <w val="0.9487800154755478"/>
          <h val="0.2720835170130724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zero"/>
  </chart>
  <spPr>
    <a:solidFill>
      <a:schemeClr val="bg1"/>
    </a:solidFill>
    <a:ln w="9525" cap="flat" cmpd="sng" algn="ctr">
      <a:noFill/>
      <a:prstDash val="solid"/>
      <a:round/>
    </a:ln>
  </spPr>
</chartSpace>
</file>

<file path=xl/charts/chart7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5997804410626462"/>
          <y val="0.03924391336889625"/>
          <w val="0.9115337680050464"/>
          <h val="0.604641358854842"/>
        </manualLayout>
      </layout>
      <lineChart>
        <grouping val="standard"/>
        <varyColors val="0"/>
        <ser>
          <idx val="0"/>
          <order val="0"/>
          <tx>
            <v>Shear (U)x</v>
          </tx>
          <spPr>
            <a:ln w="25400" cap="rnd">
              <a:noFill/>
              <a:prstDash val="solid"/>
              <a:round/>
            </a:ln>
          </spPr>
          <marker>
            <symbol val="diamond"/>
            <size val="6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  <a:round/>
              </a:ln>
            </spPr>
          </marker>
          <cat>
            <strLit>
              <ptCount val="36"/>
              <pt idx="0">
                <v>0.4 MFRC-MFRC</v>
              </pt>
              <pt idx="1">
                <v>0.4 MFST-MFST</v>
              </pt>
              <pt idx="2">
                <v>0.4 BFCOST-BFCOST</v>
              </pt>
              <pt idx="3">
                <v>0.4 BFCTST-BFCTST</v>
              </pt>
              <pt idx="4">
                <v>0.4 BFIVST-BFIVST</v>
              </pt>
              <pt idx="5">
                <v>0.4 BFECST-BFECST</v>
              </pt>
              <pt idx="6">
                <v>0.4 MFRC-MFST</v>
              </pt>
              <pt idx="7">
                <v>0.4 MFRC-BFCOST</v>
              </pt>
              <pt idx="8">
                <v>0.4 MFRC-BFCTST</v>
              </pt>
              <pt idx="9">
                <v>0.4 MFRC-BFIVST</v>
              </pt>
              <pt idx="10">
                <v>0.4 MFRC-BFECST</v>
              </pt>
              <pt idx="11">
                <v>0.4 MFST-BFCOST</v>
              </pt>
              <pt idx="12">
                <v>0.4 MFST-BFCTST</v>
              </pt>
              <pt idx="13">
                <v>0.4 MFST-BFIVST</v>
              </pt>
              <pt idx="14">
                <v>0.4 MFST-BFECST</v>
              </pt>
              <pt idx="15">
                <v>0.4 BFCOST-BFCTST</v>
              </pt>
              <pt idx="16">
                <v>0.4 BFCOST-BFIVST</v>
              </pt>
              <pt idx="17">
                <v>0.4 BFCOST-BFECST</v>
              </pt>
              <pt idx="18">
                <v>0.4 BFCTST-BFIVST</v>
              </pt>
              <pt idx="19">
                <v>0.4 BFCTST-BFECST</v>
              </pt>
              <pt idx="20">
                <v>0.4 BFECST-BFIVST</v>
              </pt>
              <pt idx="21">
                <v>0.4 MFST-MFRC</v>
              </pt>
              <pt idx="22">
                <v>0.4 BFCOST-MFRC</v>
              </pt>
              <pt idx="23">
                <v>0.4 BFCTST-MFRC</v>
              </pt>
              <pt idx="24">
                <v>0.4 BFIVST-MFRC</v>
              </pt>
              <pt idx="25">
                <v>0.4 BFECST-MFRC</v>
              </pt>
              <pt idx="26">
                <v>0.4 BFCOST-MFST</v>
              </pt>
              <pt idx="27">
                <v>0.4 BFCTST-MFST</v>
              </pt>
              <pt idx="28">
                <v>0.4 BFIVST-MFST</v>
              </pt>
              <pt idx="29">
                <v>0.4 BFECST-MFST</v>
              </pt>
              <pt idx="30">
                <v>0.4 BFCTST-BFCOST</v>
              </pt>
              <pt idx="31">
                <v>0.4 BFIVST-BFCOST</v>
              </pt>
              <pt idx="32">
                <v>0.4 BFECST-BFCOST</v>
              </pt>
              <pt idx="33">
                <v>0.4 BFIVST-BFCTST</v>
              </pt>
              <pt idx="34">
                <v>0.4 BFECST-BFCTST</v>
              </pt>
              <pt idx="35">
                <v>0.4 BFIVST-BFECST</v>
              </pt>
            </strLit>
          </cat>
          <val>
            <numLit>
              <formatCode>General</formatCode>
              <ptCount val="36"/>
              <pt idx="0">
                <v>66</v>
              </pt>
              <pt idx="1">
                <v>86</v>
              </pt>
              <pt idx="6">
                <v>64</v>
              </pt>
              <pt idx="7">
                <v>65</v>
              </pt>
              <pt idx="8">
                <v>73</v>
              </pt>
              <pt idx="9">
                <v>65</v>
              </pt>
              <pt idx="10">
                <v>66</v>
              </pt>
              <pt idx="11">
                <v>46</v>
              </pt>
              <pt idx="12">
                <v>46</v>
              </pt>
              <pt idx="13">
                <v>46</v>
              </pt>
              <pt idx="14">
                <v>47</v>
              </pt>
              <pt idx="21">
                <v>91</v>
              </pt>
            </numLit>
          </val>
          <smooth val="0"/>
        </ser>
        <ser>
          <idx val="1"/>
          <order val="1"/>
          <tx>
            <v>Moment (U)x</v>
          </tx>
          <spPr>
            <a:ln w="25400" cap="rnd">
              <a:noFill/>
              <a:prstDash val="solid"/>
              <a:round/>
            </a:ln>
          </spPr>
          <marker>
            <symbol val="square"/>
            <size val="6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  <a:round/>
              </a:ln>
            </spPr>
          </marker>
          <cat>
            <strLit>
              <ptCount val="36"/>
              <pt idx="0">
                <v>0.4 MFRC-MFRC</v>
              </pt>
              <pt idx="1">
                <v>0.4 MFST-MFST</v>
              </pt>
              <pt idx="2">
                <v>0.4 BFCOST-BFCOST</v>
              </pt>
              <pt idx="3">
                <v>0.4 BFCTST-BFCTST</v>
              </pt>
              <pt idx="4">
                <v>0.4 BFIVST-BFIVST</v>
              </pt>
              <pt idx="5">
                <v>0.4 BFECST-BFECST</v>
              </pt>
              <pt idx="6">
                <v>0.4 MFRC-MFST</v>
              </pt>
              <pt idx="7">
                <v>0.4 MFRC-BFCOST</v>
              </pt>
              <pt idx="8">
                <v>0.4 MFRC-BFCTST</v>
              </pt>
              <pt idx="9">
                <v>0.4 MFRC-BFIVST</v>
              </pt>
              <pt idx="10">
                <v>0.4 MFRC-BFECST</v>
              </pt>
              <pt idx="11">
                <v>0.4 MFST-BFCOST</v>
              </pt>
              <pt idx="12">
                <v>0.4 MFST-BFCTST</v>
              </pt>
              <pt idx="13">
                <v>0.4 MFST-BFIVST</v>
              </pt>
              <pt idx="14">
                <v>0.4 MFST-BFECST</v>
              </pt>
              <pt idx="15">
                <v>0.4 BFCOST-BFCTST</v>
              </pt>
              <pt idx="16">
                <v>0.4 BFCOST-BFIVST</v>
              </pt>
              <pt idx="17">
                <v>0.4 BFCOST-BFECST</v>
              </pt>
              <pt idx="18">
                <v>0.4 BFCTST-BFIVST</v>
              </pt>
              <pt idx="19">
                <v>0.4 BFCTST-BFECST</v>
              </pt>
              <pt idx="20">
                <v>0.4 BFECST-BFIVST</v>
              </pt>
              <pt idx="21">
                <v>0.4 MFST-MFRC</v>
              </pt>
              <pt idx="22">
                <v>0.4 BFCOST-MFRC</v>
              </pt>
              <pt idx="23">
                <v>0.4 BFCTST-MFRC</v>
              </pt>
              <pt idx="24">
                <v>0.4 BFIVST-MFRC</v>
              </pt>
              <pt idx="25">
                <v>0.4 BFECST-MFRC</v>
              </pt>
              <pt idx="26">
                <v>0.4 BFCOST-MFST</v>
              </pt>
              <pt idx="27">
                <v>0.4 BFCTST-MFST</v>
              </pt>
              <pt idx="28">
                <v>0.4 BFIVST-MFST</v>
              </pt>
              <pt idx="29">
                <v>0.4 BFECST-MFST</v>
              </pt>
              <pt idx="30">
                <v>0.4 BFCTST-BFCOST</v>
              </pt>
              <pt idx="31">
                <v>0.4 BFIVST-BFCOST</v>
              </pt>
              <pt idx="32">
                <v>0.4 BFECST-BFCOST</v>
              </pt>
              <pt idx="33">
                <v>0.4 BFIVST-BFCTST</v>
              </pt>
              <pt idx="34">
                <v>0.4 BFECST-BFCTST</v>
              </pt>
              <pt idx="35">
                <v>0.4 BFIVST-BFECST</v>
              </pt>
            </strLit>
          </cat>
          <val>
            <numLit>
              <formatCode>General</formatCode>
              <ptCount val="36"/>
              <pt idx="0">
                <v>98</v>
              </pt>
              <pt idx="1">
                <v>77</v>
              </pt>
              <pt idx="6">
                <v>95</v>
              </pt>
              <pt idx="7">
                <v>98</v>
              </pt>
              <pt idx="8">
                <v>96</v>
              </pt>
              <pt idx="9">
                <v>96</v>
              </pt>
              <pt idx="10">
                <v>97</v>
              </pt>
              <pt idx="11">
                <v>58</v>
              </pt>
              <pt idx="12">
                <v>58</v>
              </pt>
              <pt idx="13">
                <v>59</v>
              </pt>
              <pt idx="14">
                <v>59</v>
              </pt>
              <pt idx="21">
                <v>84</v>
              </pt>
            </numLit>
          </val>
          <smooth val="0"/>
        </ser>
        <ser>
          <idx val="2"/>
          <order val="2"/>
          <tx>
            <v>Drift (U)x</v>
          </tx>
          <spPr>
            <a:ln w="25400" cap="rnd">
              <a:noFill/>
              <a:prstDash val="solid"/>
              <a:round/>
            </a:ln>
          </spPr>
          <marker>
            <symbol val="triangle"/>
            <size val="6"/>
            <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  <a:round/>
              </a:ln>
            </spPr>
          </marker>
          <cat>
            <strLit>
              <ptCount val="36"/>
              <pt idx="0">
                <v>0.4 MFRC-MFRC</v>
              </pt>
              <pt idx="1">
                <v>0.4 MFST-MFST</v>
              </pt>
              <pt idx="2">
                <v>0.4 BFCOST-BFCOST</v>
              </pt>
              <pt idx="3">
                <v>0.4 BFCTST-BFCTST</v>
              </pt>
              <pt idx="4">
                <v>0.4 BFIVST-BFIVST</v>
              </pt>
              <pt idx="5">
                <v>0.4 BFECST-BFECST</v>
              </pt>
              <pt idx="6">
                <v>0.4 MFRC-MFST</v>
              </pt>
              <pt idx="7">
                <v>0.4 MFRC-BFCOST</v>
              </pt>
              <pt idx="8">
                <v>0.4 MFRC-BFCTST</v>
              </pt>
              <pt idx="9">
                <v>0.4 MFRC-BFIVST</v>
              </pt>
              <pt idx="10">
                <v>0.4 MFRC-BFECST</v>
              </pt>
              <pt idx="11">
                <v>0.4 MFST-BFCOST</v>
              </pt>
              <pt idx="12">
                <v>0.4 MFST-BFCTST</v>
              </pt>
              <pt idx="13">
                <v>0.4 MFST-BFIVST</v>
              </pt>
              <pt idx="14">
                <v>0.4 MFST-BFECST</v>
              </pt>
              <pt idx="15">
                <v>0.4 BFCOST-BFCTST</v>
              </pt>
              <pt idx="16">
                <v>0.4 BFCOST-BFIVST</v>
              </pt>
              <pt idx="17">
                <v>0.4 BFCOST-BFECST</v>
              </pt>
              <pt idx="18">
                <v>0.4 BFCTST-BFIVST</v>
              </pt>
              <pt idx="19">
                <v>0.4 BFCTST-BFECST</v>
              </pt>
              <pt idx="20">
                <v>0.4 BFECST-BFIVST</v>
              </pt>
              <pt idx="21">
                <v>0.4 MFST-MFRC</v>
              </pt>
              <pt idx="22">
                <v>0.4 BFCOST-MFRC</v>
              </pt>
              <pt idx="23">
                <v>0.4 BFCTST-MFRC</v>
              </pt>
              <pt idx="24">
                <v>0.4 BFIVST-MFRC</v>
              </pt>
              <pt idx="25">
                <v>0.4 BFECST-MFRC</v>
              </pt>
              <pt idx="26">
                <v>0.4 BFCOST-MFST</v>
              </pt>
              <pt idx="27">
                <v>0.4 BFCTST-MFST</v>
              </pt>
              <pt idx="28">
                <v>0.4 BFIVST-MFST</v>
              </pt>
              <pt idx="29">
                <v>0.4 BFECST-MFST</v>
              </pt>
              <pt idx="30">
                <v>0.4 BFCTST-BFCOST</v>
              </pt>
              <pt idx="31">
                <v>0.4 BFIVST-BFCOST</v>
              </pt>
              <pt idx="32">
                <v>0.4 BFECST-BFCOST</v>
              </pt>
              <pt idx="33">
                <v>0.4 BFIVST-BFCTST</v>
              </pt>
              <pt idx="34">
                <v>0.4 BFECST-BFCTST</v>
              </pt>
              <pt idx="35">
                <v>0.4 BFIVST-BFECST</v>
              </pt>
            </strLit>
          </cat>
          <val>
            <numLit>
              <formatCode>General</formatCode>
              <ptCount val="36"/>
              <pt idx="0">
                <v>80</v>
              </pt>
              <pt idx="1">
                <v>36</v>
              </pt>
              <pt idx="2">
                <v>47</v>
              </pt>
              <pt idx="3">
                <v>40</v>
              </pt>
              <pt idx="4">
                <v>59</v>
              </pt>
              <pt idx="5">
                <v>74</v>
              </pt>
              <pt idx="6">
                <v>81</v>
              </pt>
              <pt idx="7">
                <v>83</v>
              </pt>
              <pt idx="8">
                <v>68</v>
              </pt>
              <pt idx="9">
                <v>79</v>
              </pt>
              <pt idx="10">
                <v>79</v>
              </pt>
              <pt idx="11">
                <v>21</v>
              </pt>
              <pt idx="12">
                <v>21</v>
              </pt>
              <pt idx="13">
                <v>21</v>
              </pt>
              <pt idx="14">
                <v>21</v>
              </pt>
              <pt idx="15">
                <v>47</v>
              </pt>
              <pt idx="16">
                <v>48</v>
              </pt>
              <pt idx="17">
                <v>48</v>
              </pt>
              <pt idx="18">
                <v>40</v>
              </pt>
              <pt idx="19">
                <v>41</v>
              </pt>
              <pt idx="20">
                <v>73</v>
              </pt>
              <pt idx="21">
                <v>38</v>
              </pt>
              <pt idx="22">
                <v>41</v>
              </pt>
              <pt idx="23">
                <v>42</v>
              </pt>
              <pt idx="24">
                <v>61</v>
              </pt>
              <pt idx="25">
                <v>74</v>
              </pt>
              <pt idx="26">
                <v>47</v>
              </pt>
              <pt idx="27">
                <v>40</v>
              </pt>
              <pt idx="28">
                <v>58</v>
              </pt>
              <pt idx="29">
                <v>72</v>
              </pt>
              <pt idx="30">
                <v>40</v>
              </pt>
              <pt idx="31">
                <v>57</v>
              </pt>
              <pt idx="32">
                <v>72</v>
              </pt>
              <pt idx="33">
                <v>58</v>
              </pt>
              <pt idx="34">
                <v>72</v>
              </pt>
              <pt idx="35">
                <v>59</v>
              </pt>
            </numLit>
          </val>
          <smooth val="0"/>
        </ser>
        <ser>
          <idx val="3"/>
          <order val="3"/>
          <tx>
            <v>Braced (U)x</v>
          </tx>
          <spPr>
            <a:ln w="25400" cap="rnd">
              <a:noFill/>
              <a:prstDash val="solid"/>
              <a:round/>
            </a:ln>
          </spPr>
          <marker>
            <symbol val="x"/>
            <size val="6"/>
            <spPr>
              <a:noFill/>
              <a:ln w="9525">
                <a:solidFill>
                  <a:schemeClr val="accent4"/>
                </a:solidFill>
                <a:prstDash val="solid"/>
                <a:round/>
              </a:ln>
            </spPr>
          </marker>
          <cat>
            <strLit>
              <ptCount val="36"/>
              <pt idx="0">
                <v>0.4 MFRC-MFRC</v>
              </pt>
              <pt idx="1">
                <v>0.4 MFST-MFST</v>
              </pt>
              <pt idx="2">
                <v>0.4 BFCOST-BFCOST</v>
              </pt>
              <pt idx="3">
                <v>0.4 BFCTST-BFCTST</v>
              </pt>
              <pt idx="4">
                <v>0.4 BFIVST-BFIVST</v>
              </pt>
              <pt idx="5">
                <v>0.4 BFECST-BFECST</v>
              </pt>
              <pt idx="6">
                <v>0.4 MFRC-MFST</v>
              </pt>
              <pt idx="7">
                <v>0.4 MFRC-BFCOST</v>
              </pt>
              <pt idx="8">
                <v>0.4 MFRC-BFCTST</v>
              </pt>
              <pt idx="9">
                <v>0.4 MFRC-BFIVST</v>
              </pt>
              <pt idx="10">
                <v>0.4 MFRC-BFECST</v>
              </pt>
              <pt idx="11">
                <v>0.4 MFST-BFCOST</v>
              </pt>
              <pt idx="12">
                <v>0.4 MFST-BFCTST</v>
              </pt>
              <pt idx="13">
                <v>0.4 MFST-BFIVST</v>
              </pt>
              <pt idx="14">
                <v>0.4 MFST-BFECST</v>
              </pt>
              <pt idx="15">
                <v>0.4 BFCOST-BFCTST</v>
              </pt>
              <pt idx="16">
                <v>0.4 BFCOST-BFIVST</v>
              </pt>
              <pt idx="17">
                <v>0.4 BFCOST-BFECST</v>
              </pt>
              <pt idx="18">
                <v>0.4 BFCTST-BFIVST</v>
              </pt>
              <pt idx="19">
                <v>0.4 BFCTST-BFECST</v>
              </pt>
              <pt idx="20">
                <v>0.4 BFECST-BFIVST</v>
              </pt>
              <pt idx="21">
                <v>0.4 MFST-MFRC</v>
              </pt>
              <pt idx="22">
                <v>0.4 BFCOST-MFRC</v>
              </pt>
              <pt idx="23">
                <v>0.4 BFCTST-MFRC</v>
              </pt>
              <pt idx="24">
                <v>0.4 BFIVST-MFRC</v>
              </pt>
              <pt idx="25">
                <v>0.4 BFECST-MFRC</v>
              </pt>
              <pt idx="26">
                <v>0.4 BFCOST-MFST</v>
              </pt>
              <pt idx="27">
                <v>0.4 BFCTST-MFST</v>
              </pt>
              <pt idx="28">
                <v>0.4 BFIVST-MFST</v>
              </pt>
              <pt idx="29">
                <v>0.4 BFECST-MFST</v>
              </pt>
              <pt idx="30">
                <v>0.4 BFCTST-BFCOST</v>
              </pt>
              <pt idx="31">
                <v>0.4 BFIVST-BFCOST</v>
              </pt>
              <pt idx="32">
                <v>0.4 BFECST-BFCOST</v>
              </pt>
              <pt idx="33">
                <v>0.4 BFIVST-BFCTST</v>
              </pt>
              <pt idx="34">
                <v>0.4 BFECST-BFCTST</v>
              </pt>
              <pt idx="35">
                <v>0.4 BFIVST-BFECST</v>
              </pt>
            </strLit>
          </cat>
          <val>
            <numLit>
              <formatCode>General</formatCode>
              <ptCount val="36"/>
              <pt idx="2">
                <v>83</v>
              </pt>
              <pt idx="3">
                <v>89</v>
              </pt>
              <pt idx="4">
                <v>79</v>
              </pt>
              <pt idx="5">
                <v>49</v>
              </pt>
              <pt idx="15">
                <v>84</v>
              </pt>
              <pt idx="16">
                <v>85</v>
              </pt>
              <pt idx="17">
                <v>85</v>
              </pt>
              <pt idx="18">
                <v>91</v>
              </pt>
              <pt idx="19">
                <v>91</v>
              </pt>
              <pt idx="20">
                <v>49</v>
              </pt>
              <pt idx="22">
                <v>90</v>
              </pt>
              <pt idx="23">
                <v>95</v>
              </pt>
              <pt idx="24">
                <v>84</v>
              </pt>
              <pt idx="25">
                <v>50</v>
              </pt>
              <pt idx="26">
                <v>83</v>
              </pt>
              <pt idx="27">
                <v>89</v>
              </pt>
              <pt idx="28">
                <v>78</v>
              </pt>
              <pt idx="29">
                <v>47</v>
              </pt>
              <pt idx="30">
                <v>89</v>
              </pt>
              <pt idx="31">
                <v>78</v>
              </pt>
              <pt idx="32">
                <v>48</v>
              </pt>
              <pt idx="33">
                <v>78</v>
              </pt>
              <pt idx="34">
                <v>48</v>
              </pt>
              <pt idx="35">
                <v>80</v>
              </pt>
            </numLit>
          </val>
          <smooth val="0"/>
        </ser>
        <ser>
          <idx val="4"/>
          <order val="4"/>
          <tx>
            <v>Shear (S)x</v>
          </tx>
          <spPr>
            <a:ln w="25400" cap="rnd">
              <a:noFill/>
              <a:prstDash val="solid"/>
              <a:round/>
            </a:ln>
          </spPr>
          <marker>
            <symbol val="star"/>
            <size val="6"/>
            <spPr>
              <a:noFill/>
              <a:ln w="9525">
                <a:solidFill>
                  <a:schemeClr val="accent5"/>
                </a:solidFill>
                <a:prstDash val="solid"/>
                <a:round/>
              </a:ln>
            </spPr>
          </marker>
          <cat>
            <strLit>
              <ptCount val="36"/>
              <pt idx="0">
                <v>0.4 MFRC-MFRC</v>
              </pt>
              <pt idx="1">
                <v>0.4 MFST-MFST</v>
              </pt>
              <pt idx="2">
                <v>0.4 BFCOST-BFCOST</v>
              </pt>
              <pt idx="3">
                <v>0.4 BFCTST-BFCTST</v>
              </pt>
              <pt idx="4">
                <v>0.4 BFIVST-BFIVST</v>
              </pt>
              <pt idx="5">
                <v>0.4 BFECST-BFECST</v>
              </pt>
              <pt idx="6">
                <v>0.4 MFRC-MFST</v>
              </pt>
              <pt idx="7">
                <v>0.4 MFRC-BFCOST</v>
              </pt>
              <pt idx="8">
                <v>0.4 MFRC-BFCTST</v>
              </pt>
              <pt idx="9">
                <v>0.4 MFRC-BFIVST</v>
              </pt>
              <pt idx="10">
                <v>0.4 MFRC-BFECST</v>
              </pt>
              <pt idx="11">
                <v>0.4 MFST-BFCOST</v>
              </pt>
              <pt idx="12">
                <v>0.4 MFST-BFCTST</v>
              </pt>
              <pt idx="13">
                <v>0.4 MFST-BFIVST</v>
              </pt>
              <pt idx="14">
                <v>0.4 MFST-BFECST</v>
              </pt>
              <pt idx="15">
                <v>0.4 BFCOST-BFCTST</v>
              </pt>
              <pt idx="16">
                <v>0.4 BFCOST-BFIVST</v>
              </pt>
              <pt idx="17">
                <v>0.4 BFCOST-BFECST</v>
              </pt>
              <pt idx="18">
                <v>0.4 BFCTST-BFIVST</v>
              </pt>
              <pt idx="19">
                <v>0.4 BFCTST-BFECST</v>
              </pt>
              <pt idx="20">
                <v>0.4 BFECST-BFIVST</v>
              </pt>
              <pt idx="21">
                <v>0.4 MFST-MFRC</v>
              </pt>
              <pt idx="22">
                <v>0.4 BFCOST-MFRC</v>
              </pt>
              <pt idx="23">
                <v>0.4 BFCTST-MFRC</v>
              </pt>
              <pt idx="24">
                <v>0.4 BFIVST-MFRC</v>
              </pt>
              <pt idx="25">
                <v>0.4 BFECST-MFRC</v>
              </pt>
              <pt idx="26">
                <v>0.4 BFCOST-MFST</v>
              </pt>
              <pt idx="27">
                <v>0.4 BFCTST-MFST</v>
              </pt>
              <pt idx="28">
                <v>0.4 BFIVST-MFST</v>
              </pt>
              <pt idx="29">
                <v>0.4 BFECST-MFST</v>
              </pt>
              <pt idx="30">
                <v>0.4 BFCTST-BFCOST</v>
              </pt>
              <pt idx="31">
                <v>0.4 BFIVST-BFCOST</v>
              </pt>
              <pt idx="32">
                <v>0.4 BFECST-BFCOST</v>
              </pt>
              <pt idx="33">
                <v>0.4 BFIVST-BFCTST</v>
              </pt>
              <pt idx="34">
                <v>0.4 BFECST-BFCTST</v>
              </pt>
              <pt idx="35">
                <v>0.4 BFIVST-BFECST</v>
              </pt>
            </strLit>
          </cat>
          <val>
            <numLit>
              <formatCode>General</formatCode>
              <ptCount val="36"/>
              <pt idx="0">
                <v>28</v>
              </pt>
              <pt idx="1">
                <v>48</v>
              </pt>
              <pt idx="6">
                <v>27</v>
              </pt>
              <pt idx="7">
                <v>28</v>
              </pt>
              <pt idx="8">
                <v>30</v>
              </pt>
              <pt idx="9">
                <v>27</v>
              </pt>
              <pt idx="10">
                <v>27</v>
              </pt>
              <pt idx="11">
                <v>26</v>
              </pt>
              <pt idx="12">
                <v>26</v>
              </pt>
              <pt idx="13">
                <v>26</v>
              </pt>
              <pt idx="14">
                <v>26</v>
              </pt>
              <pt idx="21">
                <v>51</v>
              </pt>
            </numLit>
          </val>
          <smooth val="0"/>
        </ser>
        <ser>
          <idx val="5"/>
          <order val="5"/>
          <tx>
            <v>Moment (S)x</v>
          </tx>
          <spPr>
            <a:ln w="25400" cap="rnd">
              <a:noFill/>
              <a:prstDash val="solid"/>
              <a:round/>
            </a:ln>
          </spPr>
          <marker>
            <symbol val="plus"/>
            <size val="6"/>
            <spPr>
              <a:noFill/>
              <a:ln w="9525">
                <a:solidFill>
                  <a:schemeClr val="accent1">
                    <a:lumMod val="60000"/>
                  </a:schemeClr>
                </a:solidFill>
                <a:prstDash val="solid"/>
                <a:round/>
              </a:ln>
            </spPr>
          </marker>
          <cat>
            <strLit>
              <ptCount val="36"/>
              <pt idx="0">
                <v>0.4 MFRC-MFRC</v>
              </pt>
              <pt idx="1">
                <v>0.4 MFST-MFST</v>
              </pt>
              <pt idx="2">
                <v>0.4 BFCOST-BFCOST</v>
              </pt>
              <pt idx="3">
                <v>0.4 BFCTST-BFCTST</v>
              </pt>
              <pt idx="4">
                <v>0.4 BFIVST-BFIVST</v>
              </pt>
              <pt idx="5">
                <v>0.4 BFECST-BFECST</v>
              </pt>
              <pt idx="6">
                <v>0.4 MFRC-MFST</v>
              </pt>
              <pt idx="7">
                <v>0.4 MFRC-BFCOST</v>
              </pt>
              <pt idx="8">
                <v>0.4 MFRC-BFCTST</v>
              </pt>
              <pt idx="9">
                <v>0.4 MFRC-BFIVST</v>
              </pt>
              <pt idx="10">
                <v>0.4 MFRC-BFECST</v>
              </pt>
              <pt idx="11">
                <v>0.4 MFST-BFCOST</v>
              </pt>
              <pt idx="12">
                <v>0.4 MFST-BFCTST</v>
              </pt>
              <pt idx="13">
                <v>0.4 MFST-BFIVST</v>
              </pt>
              <pt idx="14">
                <v>0.4 MFST-BFECST</v>
              </pt>
              <pt idx="15">
                <v>0.4 BFCOST-BFCTST</v>
              </pt>
              <pt idx="16">
                <v>0.4 BFCOST-BFIVST</v>
              </pt>
              <pt idx="17">
                <v>0.4 BFCOST-BFECST</v>
              </pt>
              <pt idx="18">
                <v>0.4 BFCTST-BFIVST</v>
              </pt>
              <pt idx="19">
                <v>0.4 BFCTST-BFECST</v>
              </pt>
              <pt idx="20">
                <v>0.4 BFECST-BFIVST</v>
              </pt>
              <pt idx="21">
                <v>0.4 MFST-MFRC</v>
              </pt>
              <pt idx="22">
                <v>0.4 BFCOST-MFRC</v>
              </pt>
              <pt idx="23">
                <v>0.4 BFCTST-MFRC</v>
              </pt>
              <pt idx="24">
                <v>0.4 BFIVST-MFRC</v>
              </pt>
              <pt idx="25">
                <v>0.4 BFECST-MFRC</v>
              </pt>
              <pt idx="26">
                <v>0.4 BFCOST-MFST</v>
              </pt>
              <pt idx="27">
                <v>0.4 BFCTST-MFST</v>
              </pt>
              <pt idx="28">
                <v>0.4 BFIVST-MFST</v>
              </pt>
              <pt idx="29">
                <v>0.4 BFECST-MFST</v>
              </pt>
              <pt idx="30">
                <v>0.4 BFCTST-BFCOST</v>
              </pt>
              <pt idx="31">
                <v>0.4 BFIVST-BFCOST</v>
              </pt>
              <pt idx="32">
                <v>0.4 BFECST-BFCOST</v>
              </pt>
              <pt idx="33">
                <v>0.4 BFIVST-BFCTST</v>
              </pt>
              <pt idx="34">
                <v>0.4 BFECST-BFCTST</v>
              </pt>
              <pt idx="35">
                <v>0.4 BFIVST-BFECST</v>
              </pt>
            </strLit>
          </cat>
          <val>
            <numLit>
              <formatCode>General</formatCode>
              <ptCount val="36"/>
              <pt idx="0">
                <v>32</v>
              </pt>
              <pt idx="1">
                <v>38</v>
              </pt>
              <pt idx="6">
                <v>32</v>
              </pt>
              <pt idx="7">
                <v>32</v>
              </pt>
              <pt idx="8">
                <v>29</v>
              </pt>
              <pt idx="9">
                <v>31</v>
              </pt>
              <pt idx="10">
                <v>31</v>
              </pt>
              <pt idx="11">
                <v>20</v>
              </pt>
              <pt idx="12">
                <v>20</v>
              </pt>
              <pt idx="13">
                <v>21</v>
              </pt>
              <pt idx="14">
                <v>21</v>
              </pt>
              <pt idx="21">
                <v>41</v>
              </pt>
            </numLit>
          </val>
          <smooth val="0"/>
        </ser>
        <ser>
          <idx val="6"/>
          <order val="6"/>
          <tx>
            <v>Drift (S)x</v>
          </tx>
          <spPr>
            <a:ln w="25400" cap="rnd">
              <a:noFill/>
              <a:prstDash val="solid"/>
              <a:round/>
            </a:ln>
          </spPr>
          <marker>
            <symbol val="dot"/>
            <size val="6"/>
            <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prstDash val="solid"/>
                <a:round/>
              </a:ln>
            </spPr>
          </marker>
          <cat>
            <strLit>
              <ptCount val="36"/>
              <pt idx="0">
                <v>0.4 MFRC-MFRC</v>
              </pt>
              <pt idx="1">
                <v>0.4 MFST-MFST</v>
              </pt>
              <pt idx="2">
                <v>0.4 BFCOST-BFCOST</v>
              </pt>
              <pt idx="3">
                <v>0.4 BFCTST-BFCTST</v>
              </pt>
              <pt idx="4">
                <v>0.4 BFIVST-BFIVST</v>
              </pt>
              <pt idx="5">
                <v>0.4 BFECST-BFECST</v>
              </pt>
              <pt idx="6">
                <v>0.4 MFRC-MFST</v>
              </pt>
              <pt idx="7">
                <v>0.4 MFRC-BFCOST</v>
              </pt>
              <pt idx="8">
                <v>0.4 MFRC-BFCTST</v>
              </pt>
              <pt idx="9">
                <v>0.4 MFRC-BFIVST</v>
              </pt>
              <pt idx="10">
                <v>0.4 MFRC-BFECST</v>
              </pt>
              <pt idx="11">
                <v>0.4 MFST-BFCOST</v>
              </pt>
              <pt idx="12">
                <v>0.4 MFST-BFCTST</v>
              </pt>
              <pt idx="13">
                <v>0.4 MFST-BFIVST</v>
              </pt>
              <pt idx="14">
                <v>0.4 MFST-BFECST</v>
              </pt>
              <pt idx="15">
                <v>0.4 BFCOST-BFCTST</v>
              </pt>
              <pt idx="16">
                <v>0.4 BFCOST-BFIVST</v>
              </pt>
              <pt idx="17">
                <v>0.4 BFCOST-BFECST</v>
              </pt>
              <pt idx="18">
                <v>0.4 BFCTST-BFIVST</v>
              </pt>
              <pt idx="19">
                <v>0.4 BFCTST-BFECST</v>
              </pt>
              <pt idx="20">
                <v>0.4 BFECST-BFIVST</v>
              </pt>
              <pt idx="21">
                <v>0.4 MFST-MFRC</v>
              </pt>
              <pt idx="22">
                <v>0.4 BFCOST-MFRC</v>
              </pt>
              <pt idx="23">
                <v>0.4 BFCTST-MFRC</v>
              </pt>
              <pt idx="24">
                <v>0.4 BFIVST-MFRC</v>
              </pt>
              <pt idx="25">
                <v>0.4 BFECST-MFRC</v>
              </pt>
              <pt idx="26">
                <v>0.4 BFCOST-MFST</v>
              </pt>
              <pt idx="27">
                <v>0.4 BFCTST-MFST</v>
              </pt>
              <pt idx="28">
                <v>0.4 BFIVST-MFST</v>
              </pt>
              <pt idx="29">
                <v>0.4 BFECST-MFST</v>
              </pt>
              <pt idx="30">
                <v>0.4 BFCTST-BFCOST</v>
              </pt>
              <pt idx="31">
                <v>0.4 BFIVST-BFCOST</v>
              </pt>
              <pt idx="32">
                <v>0.4 BFECST-BFCOST</v>
              </pt>
              <pt idx="33">
                <v>0.4 BFIVST-BFCTST</v>
              </pt>
              <pt idx="34">
                <v>0.4 BFECST-BFCTST</v>
              </pt>
              <pt idx="35">
                <v>0.4 BFIVST-BFECST</v>
              </pt>
            </strLit>
          </cat>
          <val>
            <numLit>
              <formatCode>General</formatCode>
              <ptCount val="36"/>
              <pt idx="0">
                <v>50</v>
              </pt>
              <pt idx="1">
                <v>45</v>
              </pt>
              <pt idx="2">
                <v>57</v>
              </pt>
              <pt idx="3">
                <v>48</v>
              </pt>
              <pt idx="4">
                <v>71</v>
              </pt>
              <pt idx="5">
                <v>85</v>
              </pt>
              <pt idx="6">
                <v>51</v>
              </pt>
              <pt idx="7">
                <v>52</v>
              </pt>
              <pt idx="8">
                <v>43</v>
              </pt>
              <pt idx="9">
                <v>48</v>
              </pt>
              <pt idx="10">
                <v>48</v>
              </pt>
              <pt idx="11">
                <v>26</v>
              </pt>
              <pt idx="12">
                <v>26</v>
              </pt>
              <pt idx="13">
                <v>27</v>
              </pt>
              <pt idx="14">
                <v>27</v>
              </pt>
              <pt idx="15">
                <v>57</v>
              </pt>
              <pt idx="16">
                <v>58</v>
              </pt>
              <pt idx="17">
                <v>58</v>
              </pt>
              <pt idx="18">
                <v>48</v>
              </pt>
              <pt idx="19">
                <v>49</v>
              </pt>
              <pt idx="20">
                <v>84</v>
              </pt>
              <pt idx="21">
                <v>47</v>
              </pt>
              <pt idx="22">
                <v>50</v>
              </pt>
              <pt idx="23">
                <v>51</v>
              </pt>
              <pt idx="24">
                <v>74</v>
              </pt>
              <pt idx="25">
                <v>88</v>
              </pt>
              <pt idx="26">
                <v>56</v>
              </pt>
              <pt idx="27">
                <v>48</v>
              </pt>
              <pt idx="28">
                <v>69</v>
              </pt>
              <pt idx="29">
                <v>84</v>
              </pt>
              <pt idx="30">
                <v>48</v>
              </pt>
              <pt idx="31">
                <v>69</v>
              </pt>
              <pt idx="32">
                <v>83</v>
              </pt>
              <pt idx="33">
                <v>70</v>
              </pt>
              <pt idx="34">
                <v>83</v>
              </pt>
              <pt idx="35">
                <v>71</v>
              </pt>
            </numLit>
          </val>
          <smooth val="0"/>
        </ser>
        <ser>
          <idx val="7"/>
          <order val="7"/>
          <tx>
            <v>Braced (S)x</v>
          </tx>
          <spPr>
            <a:ln w="25400" cap="rnd">
              <a:noFill/>
              <a:prstDash val="solid"/>
              <a:round/>
            </a:ln>
          </spPr>
          <marker>
            <symbol val="dash"/>
            <size val="6"/>
            <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prstDash val="solid"/>
                <a:round/>
              </a:ln>
            </spPr>
          </marker>
          <cat>
            <strLit>
              <ptCount val="36"/>
              <pt idx="0">
                <v>0.4 MFRC-MFRC</v>
              </pt>
              <pt idx="1">
                <v>0.4 MFST-MFST</v>
              </pt>
              <pt idx="2">
                <v>0.4 BFCOST-BFCOST</v>
              </pt>
              <pt idx="3">
                <v>0.4 BFCTST-BFCTST</v>
              </pt>
              <pt idx="4">
                <v>0.4 BFIVST-BFIVST</v>
              </pt>
              <pt idx="5">
                <v>0.4 BFECST-BFECST</v>
              </pt>
              <pt idx="6">
                <v>0.4 MFRC-MFST</v>
              </pt>
              <pt idx="7">
                <v>0.4 MFRC-BFCOST</v>
              </pt>
              <pt idx="8">
                <v>0.4 MFRC-BFCTST</v>
              </pt>
              <pt idx="9">
                <v>0.4 MFRC-BFIVST</v>
              </pt>
              <pt idx="10">
                <v>0.4 MFRC-BFECST</v>
              </pt>
              <pt idx="11">
                <v>0.4 MFST-BFCOST</v>
              </pt>
              <pt idx="12">
                <v>0.4 MFST-BFCTST</v>
              </pt>
              <pt idx="13">
                <v>0.4 MFST-BFIVST</v>
              </pt>
              <pt idx="14">
                <v>0.4 MFST-BFECST</v>
              </pt>
              <pt idx="15">
                <v>0.4 BFCOST-BFCTST</v>
              </pt>
              <pt idx="16">
                <v>0.4 BFCOST-BFIVST</v>
              </pt>
              <pt idx="17">
                <v>0.4 BFCOST-BFECST</v>
              </pt>
              <pt idx="18">
                <v>0.4 BFCTST-BFIVST</v>
              </pt>
              <pt idx="19">
                <v>0.4 BFCTST-BFECST</v>
              </pt>
              <pt idx="20">
                <v>0.4 BFECST-BFIVST</v>
              </pt>
              <pt idx="21">
                <v>0.4 MFST-MFRC</v>
              </pt>
              <pt idx="22">
                <v>0.4 BFCOST-MFRC</v>
              </pt>
              <pt idx="23">
                <v>0.4 BFCTST-MFRC</v>
              </pt>
              <pt idx="24">
                <v>0.4 BFIVST-MFRC</v>
              </pt>
              <pt idx="25">
                <v>0.4 BFECST-MFRC</v>
              </pt>
              <pt idx="26">
                <v>0.4 BFCOST-MFST</v>
              </pt>
              <pt idx="27">
                <v>0.4 BFCTST-MFST</v>
              </pt>
              <pt idx="28">
                <v>0.4 BFIVST-MFST</v>
              </pt>
              <pt idx="29">
                <v>0.4 BFECST-MFST</v>
              </pt>
              <pt idx="30">
                <v>0.4 BFCTST-BFCOST</v>
              </pt>
              <pt idx="31">
                <v>0.4 BFIVST-BFCOST</v>
              </pt>
              <pt idx="32">
                <v>0.4 BFECST-BFCOST</v>
              </pt>
              <pt idx="33">
                <v>0.4 BFIVST-BFCTST</v>
              </pt>
              <pt idx="34">
                <v>0.4 BFECST-BFCTST</v>
              </pt>
              <pt idx="35">
                <v>0.4 BFIVST-BFECST</v>
              </pt>
            </strLit>
          </cat>
          <val>
            <numLit>
              <formatCode>General</formatCode>
              <ptCount val="36"/>
              <pt idx="2">
                <v>17</v>
              </pt>
              <pt idx="3">
                <v>18</v>
              </pt>
              <pt idx="4">
                <v>16</v>
              </pt>
              <pt idx="5">
                <v>25</v>
              </pt>
              <pt idx="15">
                <v>17</v>
              </pt>
              <pt idx="16">
                <v>17</v>
              </pt>
              <pt idx="17">
                <v>17</v>
              </pt>
              <pt idx="18">
                <v>18</v>
              </pt>
              <pt idx="19">
                <v>18</v>
              </pt>
              <pt idx="20">
                <v>25</v>
              </pt>
              <pt idx="22">
                <v>18</v>
              </pt>
              <pt idx="23">
                <v>19</v>
              </pt>
              <pt idx="24">
                <v>17</v>
              </pt>
              <pt idx="25">
                <v>26</v>
              </pt>
              <pt idx="26">
                <v>16</v>
              </pt>
              <pt idx="27">
                <v>18</v>
              </pt>
              <pt idx="28">
                <v>16</v>
              </pt>
              <pt idx="29">
                <v>25</v>
              </pt>
              <pt idx="30">
                <v>18</v>
              </pt>
              <pt idx="31">
                <v>16</v>
              </pt>
              <pt idx="32">
                <v>24</v>
              </pt>
              <pt idx="33">
                <v>16</v>
              </pt>
              <pt idx="34">
                <v>25</v>
              </pt>
              <pt idx="35">
                <v>16</v>
              </pt>
            </numLit>
          </val>
          <smooth val="0"/>
        </ser>
        <ser>
          <idx val="8"/>
          <order val="8"/>
          <tx>
            <v>Shear (U)y</v>
          </tx>
          <spPr>
            <a:ln w="25400" cap="rnd">
              <a:noFill/>
              <a:prstDash val="solid"/>
              <a:round/>
            </a:ln>
          </spPr>
          <marker>
            <symbol val="diamond"/>
            <size val="6"/>
            <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prstDash val="solid"/>
                <a:round/>
              </a:ln>
            </spPr>
          </marker>
          <cat>
            <strLit>
              <ptCount val="36"/>
              <pt idx="0">
                <v>0.4 MFRC-MFRC</v>
              </pt>
              <pt idx="1">
                <v>0.4 MFST-MFST</v>
              </pt>
              <pt idx="2">
                <v>0.4 BFCOST-BFCOST</v>
              </pt>
              <pt idx="3">
                <v>0.4 BFCTST-BFCTST</v>
              </pt>
              <pt idx="4">
                <v>0.4 BFIVST-BFIVST</v>
              </pt>
              <pt idx="5">
                <v>0.4 BFECST-BFECST</v>
              </pt>
              <pt idx="6">
                <v>0.4 MFRC-MFST</v>
              </pt>
              <pt idx="7">
                <v>0.4 MFRC-BFCOST</v>
              </pt>
              <pt idx="8">
                <v>0.4 MFRC-BFCTST</v>
              </pt>
              <pt idx="9">
                <v>0.4 MFRC-BFIVST</v>
              </pt>
              <pt idx="10">
                <v>0.4 MFRC-BFECST</v>
              </pt>
              <pt idx="11">
                <v>0.4 MFST-BFCOST</v>
              </pt>
              <pt idx="12">
                <v>0.4 MFST-BFCTST</v>
              </pt>
              <pt idx="13">
                <v>0.4 MFST-BFIVST</v>
              </pt>
              <pt idx="14">
                <v>0.4 MFST-BFECST</v>
              </pt>
              <pt idx="15">
                <v>0.4 BFCOST-BFCTST</v>
              </pt>
              <pt idx="16">
                <v>0.4 BFCOST-BFIVST</v>
              </pt>
              <pt idx="17">
                <v>0.4 BFCOST-BFECST</v>
              </pt>
              <pt idx="18">
                <v>0.4 BFCTST-BFIVST</v>
              </pt>
              <pt idx="19">
                <v>0.4 BFCTST-BFECST</v>
              </pt>
              <pt idx="20">
                <v>0.4 BFECST-BFIVST</v>
              </pt>
              <pt idx="21">
                <v>0.4 MFST-MFRC</v>
              </pt>
              <pt idx="22">
                <v>0.4 BFCOST-MFRC</v>
              </pt>
              <pt idx="23">
                <v>0.4 BFCTST-MFRC</v>
              </pt>
              <pt idx="24">
                <v>0.4 BFIVST-MFRC</v>
              </pt>
              <pt idx="25">
                <v>0.4 BFECST-MFRC</v>
              </pt>
              <pt idx="26">
                <v>0.4 BFCOST-MFST</v>
              </pt>
              <pt idx="27">
                <v>0.4 BFCTST-MFST</v>
              </pt>
              <pt idx="28">
                <v>0.4 BFIVST-MFST</v>
              </pt>
              <pt idx="29">
                <v>0.4 BFECST-MFST</v>
              </pt>
              <pt idx="30">
                <v>0.4 BFCTST-BFCOST</v>
              </pt>
              <pt idx="31">
                <v>0.4 BFIVST-BFCOST</v>
              </pt>
              <pt idx="32">
                <v>0.4 BFECST-BFCOST</v>
              </pt>
              <pt idx="33">
                <v>0.4 BFIVST-BFCTST</v>
              </pt>
              <pt idx="34">
                <v>0.4 BFECST-BFCTST</v>
              </pt>
              <pt idx="35">
                <v>0.4 BFIVST-BFECST</v>
              </pt>
            </strLit>
          </cat>
          <val>
            <numLit>
              <formatCode>General</formatCode>
              <ptCount val="36"/>
              <pt idx="0">
                <v>67</v>
              </pt>
              <pt idx="1">
                <v>88</v>
              </pt>
              <pt idx="6">
                <v>50</v>
              </pt>
              <pt idx="21">
                <v>66</v>
              </pt>
              <pt idx="22">
                <v>66</v>
              </pt>
              <pt idx="23">
                <v>66</v>
              </pt>
              <pt idx="24">
                <v>67</v>
              </pt>
              <pt idx="25">
                <v>67</v>
              </pt>
              <pt idx="26">
                <v>47</v>
              </pt>
              <pt idx="27">
                <v>47</v>
              </pt>
              <pt idx="28">
                <v>47</v>
              </pt>
              <pt idx="29">
                <v>47</v>
              </pt>
            </numLit>
          </val>
          <smooth val="0"/>
        </ser>
        <ser>
          <idx val="9"/>
          <order val="9"/>
          <tx>
            <v>Moment (U)y</v>
          </tx>
          <spPr>
            <a:ln w="25400" cap="rnd">
              <a:noFill/>
              <a:prstDash val="solid"/>
              <a:round/>
            </a:ln>
          </spPr>
          <marker>
            <symbol val="square"/>
            <size val="6"/>
            <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  <a:prstDash val="solid"/>
                <a:round/>
              </a:ln>
            </spPr>
          </marker>
          <cat>
            <strLit>
              <ptCount val="36"/>
              <pt idx="0">
                <v>0.4 MFRC-MFRC</v>
              </pt>
              <pt idx="1">
                <v>0.4 MFST-MFST</v>
              </pt>
              <pt idx="2">
                <v>0.4 BFCOST-BFCOST</v>
              </pt>
              <pt idx="3">
                <v>0.4 BFCTST-BFCTST</v>
              </pt>
              <pt idx="4">
                <v>0.4 BFIVST-BFIVST</v>
              </pt>
              <pt idx="5">
                <v>0.4 BFECST-BFECST</v>
              </pt>
              <pt idx="6">
                <v>0.4 MFRC-MFST</v>
              </pt>
              <pt idx="7">
                <v>0.4 MFRC-BFCOST</v>
              </pt>
              <pt idx="8">
                <v>0.4 MFRC-BFCTST</v>
              </pt>
              <pt idx="9">
                <v>0.4 MFRC-BFIVST</v>
              </pt>
              <pt idx="10">
                <v>0.4 MFRC-BFECST</v>
              </pt>
              <pt idx="11">
                <v>0.4 MFST-BFCOST</v>
              </pt>
              <pt idx="12">
                <v>0.4 MFST-BFCTST</v>
              </pt>
              <pt idx="13">
                <v>0.4 MFST-BFIVST</v>
              </pt>
              <pt idx="14">
                <v>0.4 MFST-BFECST</v>
              </pt>
              <pt idx="15">
                <v>0.4 BFCOST-BFCTST</v>
              </pt>
              <pt idx="16">
                <v>0.4 BFCOST-BFIVST</v>
              </pt>
              <pt idx="17">
                <v>0.4 BFCOST-BFECST</v>
              </pt>
              <pt idx="18">
                <v>0.4 BFCTST-BFIVST</v>
              </pt>
              <pt idx="19">
                <v>0.4 BFCTST-BFECST</v>
              </pt>
              <pt idx="20">
                <v>0.4 BFECST-BFIVST</v>
              </pt>
              <pt idx="21">
                <v>0.4 MFST-MFRC</v>
              </pt>
              <pt idx="22">
                <v>0.4 BFCOST-MFRC</v>
              </pt>
              <pt idx="23">
                <v>0.4 BFCTST-MFRC</v>
              </pt>
              <pt idx="24">
                <v>0.4 BFIVST-MFRC</v>
              </pt>
              <pt idx="25">
                <v>0.4 BFECST-MFRC</v>
              </pt>
              <pt idx="26">
                <v>0.4 BFCOST-MFST</v>
              </pt>
              <pt idx="27">
                <v>0.4 BFCTST-MFST</v>
              </pt>
              <pt idx="28">
                <v>0.4 BFIVST-MFST</v>
              </pt>
              <pt idx="29">
                <v>0.4 BFECST-MFST</v>
              </pt>
              <pt idx="30">
                <v>0.4 BFCTST-BFCOST</v>
              </pt>
              <pt idx="31">
                <v>0.4 BFIVST-BFCOST</v>
              </pt>
              <pt idx="32">
                <v>0.4 BFECST-BFCOST</v>
              </pt>
              <pt idx="33">
                <v>0.4 BFIVST-BFCTST</v>
              </pt>
              <pt idx="34">
                <v>0.4 BFECST-BFCTST</v>
              </pt>
              <pt idx="35">
                <v>0.4 BFIVST-BFECST</v>
              </pt>
            </strLit>
          </cat>
          <val>
            <numLit>
              <formatCode>General</formatCode>
              <ptCount val="36"/>
              <pt idx="0">
                <v>98</v>
              </pt>
              <pt idx="1">
                <v>80</v>
              </pt>
              <pt idx="6">
                <v>64</v>
              </pt>
              <pt idx="21">
                <v>98</v>
              </pt>
              <pt idx="22">
                <v>97</v>
              </pt>
              <pt idx="23">
                <v>98</v>
              </pt>
              <pt idx="24">
                <v>99</v>
              </pt>
              <pt idx="25">
                <v>100</v>
              </pt>
              <pt idx="26">
                <v>59</v>
              </pt>
              <pt idx="27">
                <v>60</v>
              </pt>
              <pt idx="28">
                <v>60</v>
              </pt>
              <pt idx="29">
                <v>60</v>
              </pt>
            </numLit>
          </val>
          <smooth val="0"/>
        </ser>
        <ser>
          <idx val="10"/>
          <order val="10"/>
          <tx>
            <v>Drift (U)y</v>
          </tx>
          <spPr>
            <a:ln w="25400" cap="rnd">
              <a:noFill/>
              <a:prstDash val="solid"/>
              <a:round/>
            </a:ln>
          </spPr>
          <marker>
            <symbol val="triangle"/>
            <size val="6"/>
            <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  <a:prstDash val="solid"/>
                <a:round/>
              </a:ln>
            </spPr>
          </marker>
          <cat>
            <strLit>
              <ptCount val="36"/>
              <pt idx="0">
                <v>0.4 MFRC-MFRC</v>
              </pt>
              <pt idx="1">
                <v>0.4 MFST-MFST</v>
              </pt>
              <pt idx="2">
                <v>0.4 BFCOST-BFCOST</v>
              </pt>
              <pt idx="3">
                <v>0.4 BFCTST-BFCTST</v>
              </pt>
              <pt idx="4">
                <v>0.4 BFIVST-BFIVST</v>
              </pt>
              <pt idx="5">
                <v>0.4 BFECST-BFECST</v>
              </pt>
              <pt idx="6">
                <v>0.4 MFRC-MFST</v>
              </pt>
              <pt idx="7">
                <v>0.4 MFRC-BFCOST</v>
              </pt>
              <pt idx="8">
                <v>0.4 MFRC-BFCTST</v>
              </pt>
              <pt idx="9">
                <v>0.4 MFRC-BFIVST</v>
              </pt>
              <pt idx="10">
                <v>0.4 MFRC-BFECST</v>
              </pt>
              <pt idx="11">
                <v>0.4 MFST-BFCOST</v>
              </pt>
              <pt idx="12">
                <v>0.4 MFST-BFCTST</v>
              </pt>
              <pt idx="13">
                <v>0.4 MFST-BFIVST</v>
              </pt>
              <pt idx="14">
                <v>0.4 MFST-BFECST</v>
              </pt>
              <pt idx="15">
                <v>0.4 BFCOST-BFCTST</v>
              </pt>
              <pt idx="16">
                <v>0.4 BFCOST-BFIVST</v>
              </pt>
              <pt idx="17">
                <v>0.4 BFCOST-BFECST</v>
              </pt>
              <pt idx="18">
                <v>0.4 BFCTST-BFIVST</v>
              </pt>
              <pt idx="19">
                <v>0.4 BFCTST-BFECST</v>
              </pt>
              <pt idx="20">
                <v>0.4 BFECST-BFIVST</v>
              </pt>
              <pt idx="21">
                <v>0.4 MFST-MFRC</v>
              </pt>
              <pt idx="22">
                <v>0.4 BFCOST-MFRC</v>
              </pt>
              <pt idx="23">
                <v>0.4 BFCTST-MFRC</v>
              </pt>
              <pt idx="24">
                <v>0.4 BFIVST-MFRC</v>
              </pt>
              <pt idx="25">
                <v>0.4 BFECST-MFRC</v>
              </pt>
              <pt idx="26">
                <v>0.4 BFCOST-MFST</v>
              </pt>
              <pt idx="27">
                <v>0.4 BFCTST-MFST</v>
              </pt>
              <pt idx="28">
                <v>0.4 BFIVST-MFST</v>
              </pt>
              <pt idx="29">
                <v>0.4 BFECST-MFST</v>
              </pt>
              <pt idx="30">
                <v>0.4 BFCTST-BFCOST</v>
              </pt>
              <pt idx="31">
                <v>0.4 BFIVST-BFCOST</v>
              </pt>
              <pt idx="32">
                <v>0.4 BFECST-BFCOST</v>
              </pt>
              <pt idx="33">
                <v>0.4 BFIVST-BFCTST</v>
              </pt>
              <pt idx="34">
                <v>0.4 BFECST-BFCTST</v>
              </pt>
              <pt idx="35">
                <v>0.4 BFIVST-BFECST</v>
              </pt>
            </strLit>
          </cat>
          <val>
            <numLit>
              <formatCode>General</formatCode>
              <ptCount val="36"/>
              <pt idx="0">
                <v>77</v>
              </pt>
              <pt idx="1">
                <v>37</v>
              </pt>
              <pt idx="2">
                <v>48</v>
              </pt>
              <pt idx="3">
                <v>41</v>
              </pt>
              <pt idx="4">
                <v>60</v>
              </pt>
              <pt idx="5">
                <v>75</v>
              </pt>
              <pt idx="6">
                <v>23</v>
              </pt>
              <pt idx="7">
                <v>42</v>
              </pt>
              <pt idx="8">
                <v>44</v>
              </pt>
              <pt idx="9">
                <v>63</v>
              </pt>
              <pt idx="10">
                <v>76</v>
              </pt>
              <pt idx="11">
                <v>48</v>
              </pt>
              <pt idx="12">
                <v>41</v>
              </pt>
              <pt idx="13">
                <v>59</v>
              </pt>
              <pt idx="14">
                <v>73</v>
              </pt>
              <pt idx="15">
                <v>41</v>
              </pt>
              <pt idx="16">
                <v>59</v>
              </pt>
              <pt idx="17">
                <v>74</v>
              </pt>
              <pt idx="18">
                <v>59</v>
              </pt>
              <pt idx="19">
                <v>75</v>
              </pt>
              <pt idx="20">
                <v>61</v>
              </pt>
              <pt idx="21">
                <v>80</v>
              </pt>
              <pt idx="22">
                <v>79</v>
              </pt>
              <pt idx="23">
                <v>80</v>
              </pt>
              <pt idx="24">
                <v>80</v>
              </pt>
              <pt idx="25">
                <v>81</v>
              </pt>
              <pt idx="26">
                <v>21</v>
              </pt>
              <pt idx="27">
                <v>21</v>
              </pt>
              <pt idx="28">
                <v>22</v>
              </pt>
              <pt idx="29">
                <v>22</v>
              </pt>
              <pt idx="30">
                <v>48</v>
              </pt>
              <pt idx="31">
                <v>41</v>
              </pt>
              <pt idx="32">
                <v>41</v>
              </pt>
              <pt idx="33">
                <v>41</v>
              </pt>
              <pt idx="34">
                <v>42</v>
              </pt>
              <pt idx="35">
                <v>75</v>
              </pt>
            </numLit>
          </val>
          <smooth val="0"/>
        </ser>
        <ser>
          <idx val="11"/>
          <order val="11"/>
          <tx>
            <v>Braced (U)y</v>
          </tx>
          <spPr>
            <a:ln w="25400" cap="rnd">
              <a:noFill/>
              <a:prstDash val="solid"/>
              <a:round/>
            </a:ln>
          </spPr>
          <marker>
            <symbol val="x"/>
            <size val="6"/>
            <spPr>
              <a:noFill/>
              <a:ln w="9525">
                <a:solidFill>
                  <a:schemeClr val="accent1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cat>
            <strLit>
              <ptCount val="36"/>
              <pt idx="0">
                <v>0.4 MFRC-MFRC</v>
              </pt>
              <pt idx="1">
                <v>0.4 MFST-MFST</v>
              </pt>
              <pt idx="2">
                <v>0.4 BFCOST-BFCOST</v>
              </pt>
              <pt idx="3">
                <v>0.4 BFCTST-BFCTST</v>
              </pt>
              <pt idx="4">
                <v>0.4 BFIVST-BFIVST</v>
              </pt>
              <pt idx="5">
                <v>0.4 BFECST-BFECST</v>
              </pt>
              <pt idx="6">
                <v>0.4 MFRC-MFST</v>
              </pt>
              <pt idx="7">
                <v>0.4 MFRC-BFCOST</v>
              </pt>
              <pt idx="8">
                <v>0.4 MFRC-BFCTST</v>
              </pt>
              <pt idx="9">
                <v>0.4 MFRC-BFIVST</v>
              </pt>
              <pt idx="10">
                <v>0.4 MFRC-BFECST</v>
              </pt>
              <pt idx="11">
                <v>0.4 MFST-BFCOST</v>
              </pt>
              <pt idx="12">
                <v>0.4 MFST-BFCTST</v>
              </pt>
              <pt idx="13">
                <v>0.4 MFST-BFIVST</v>
              </pt>
              <pt idx="14">
                <v>0.4 MFST-BFECST</v>
              </pt>
              <pt idx="15">
                <v>0.4 BFCOST-BFCTST</v>
              </pt>
              <pt idx="16">
                <v>0.4 BFCOST-BFIVST</v>
              </pt>
              <pt idx="17">
                <v>0.4 BFCOST-BFECST</v>
              </pt>
              <pt idx="18">
                <v>0.4 BFCTST-BFIVST</v>
              </pt>
              <pt idx="19">
                <v>0.4 BFCTST-BFECST</v>
              </pt>
              <pt idx="20">
                <v>0.4 BFECST-BFIVST</v>
              </pt>
              <pt idx="21">
                <v>0.4 MFST-MFRC</v>
              </pt>
              <pt idx="22">
                <v>0.4 BFCOST-MFRC</v>
              </pt>
              <pt idx="23">
                <v>0.4 BFCTST-MFRC</v>
              </pt>
              <pt idx="24">
                <v>0.4 BFIVST-MFRC</v>
              </pt>
              <pt idx="25">
                <v>0.4 BFECST-MFRC</v>
              </pt>
              <pt idx="26">
                <v>0.4 BFCOST-MFST</v>
              </pt>
              <pt idx="27">
                <v>0.4 BFCTST-MFST</v>
              </pt>
              <pt idx="28">
                <v>0.4 BFIVST-MFST</v>
              </pt>
              <pt idx="29">
                <v>0.4 BFECST-MFST</v>
              </pt>
              <pt idx="30">
                <v>0.4 BFCTST-BFCOST</v>
              </pt>
              <pt idx="31">
                <v>0.4 BFIVST-BFCOST</v>
              </pt>
              <pt idx="32">
                <v>0.4 BFECST-BFCOST</v>
              </pt>
              <pt idx="33">
                <v>0.4 BFIVST-BFCTST</v>
              </pt>
              <pt idx="34">
                <v>0.4 BFECST-BFCTST</v>
              </pt>
              <pt idx="35">
                <v>0.4 BFIVST-BFECST</v>
              </pt>
            </strLit>
          </cat>
          <val>
            <numLit>
              <formatCode>General</formatCode>
              <ptCount val="36"/>
              <pt idx="2">
                <v>86</v>
              </pt>
              <pt idx="3">
                <v>92</v>
              </pt>
              <pt idx="4">
                <v>82</v>
              </pt>
              <pt idx="5">
                <v>51</v>
              </pt>
              <pt idx="7">
                <v>93</v>
              </pt>
              <pt idx="8">
                <v>98</v>
              </pt>
              <pt idx="9">
                <v>86</v>
              </pt>
              <pt idx="10">
                <v>52</v>
              </pt>
              <pt idx="11">
                <v>85</v>
              </pt>
              <pt idx="12">
                <v>91</v>
              </pt>
              <pt idx="13">
                <v>80</v>
              </pt>
              <pt idx="14">
                <v>49</v>
              </pt>
              <pt idx="15">
                <v>92</v>
              </pt>
              <pt idx="16">
                <v>80</v>
              </pt>
              <pt idx="17">
                <v>50</v>
              </pt>
              <pt idx="18">
                <v>81</v>
              </pt>
              <pt idx="19">
                <v>50</v>
              </pt>
              <pt idx="20">
                <v>82</v>
              </pt>
              <pt idx="30">
                <v>86</v>
              </pt>
              <pt idx="31">
                <v>88</v>
              </pt>
              <pt idx="32">
                <v>89</v>
              </pt>
              <pt idx="33">
                <v>93</v>
              </pt>
              <pt idx="34">
                <v>94</v>
              </pt>
              <pt idx="35">
                <v>51</v>
              </pt>
            </numLit>
          </val>
          <smooth val="0"/>
        </ser>
        <ser>
          <idx val="12"/>
          <order val="12"/>
          <tx>
            <v>Shear (S)y</v>
          </tx>
          <spPr>
            <a:ln w="25400" cap="rnd">
              <a:noFill/>
              <a:prstDash val="solid"/>
              <a:round/>
            </a:ln>
          </spPr>
          <marker>
            <symbol val="star"/>
            <size val="6"/>
            <spPr>
              <a:noFill/>
              <a:ln w="9525">
                <a:solidFill>
                  <a:schemeClr val="accent2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cat>
            <strLit>
              <ptCount val="36"/>
              <pt idx="0">
                <v>0.4 MFRC-MFRC</v>
              </pt>
              <pt idx="1">
                <v>0.4 MFST-MFST</v>
              </pt>
              <pt idx="2">
                <v>0.4 BFCOST-BFCOST</v>
              </pt>
              <pt idx="3">
                <v>0.4 BFCTST-BFCTST</v>
              </pt>
              <pt idx="4">
                <v>0.4 BFIVST-BFIVST</v>
              </pt>
              <pt idx="5">
                <v>0.4 BFECST-BFECST</v>
              </pt>
              <pt idx="6">
                <v>0.4 MFRC-MFST</v>
              </pt>
              <pt idx="7">
                <v>0.4 MFRC-BFCOST</v>
              </pt>
              <pt idx="8">
                <v>0.4 MFRC-BFCTST</v>
              </pt>
              <pt idx="9">
                <v>0.4 MFRC-BFIVST</v>
              </pt>
              <pt idx="10">
                <v>0.4 MFRC-BFECST</v>
              </pt>
              <pt idx="11">
                <v>0.4 MFST-BFCOST</v>
              </pt>
              <pt idx="12">
                <v>0.4 MFST-BFCTST</v>
              </pt>
              <pt idx="13">
                <v>0.4 MFST-BFIVST</v>
              </pt>
              <pt idx="14">
                <v>0.4 MFST-BFECST</v>
              </pt>
              <pt idx="15">
                <v>0.4 BFCOST-BFCTST</v>
              </pt>
              <pt idx="16">
                <v>0.4 BFCOST-BFIVST</v>
              </pt>
              <pt idx="17">
                <v>0.4 BFCOST-BFECST</v>
              </pt>
              <pt idx="18">
                <v>0.4 BFCTST-BFIVST</v>
              </pt>
              <pt idx="19">
                <v>0.4 BFCTST-BFECST</v>
              </pt>
              <pt idx="20">
                <v>0.4 BFECST-BFIVST</v>
              </pt>
              <pt idx="21">
                <v>0.4 MFST-MFRC</v>
              </pt>
              <pt idx="22">
                <v>0.4 BFCOST-MFRC</v>
              </pt>
              <pt idx="23">
                <v>0.4 BFCTST-MFRC</v>
              </pt>
              <pt idx="24">
                <v>0.4 BFIVST-MFRC</v>
              </pt>
              <pt idx="25">
                <v>0.4 BFECST-MFRC</v>
              </pt>
              <pt idx="26">
                <v>0.4 BFCOST-MFST</v>
              </pt>
              <pt idx="27">
                <v>0.4 BFCTST-MFST</v>
              </pt>
              <pt idx="28">
                <v>0.4 BFIVST-MFST</v>
              </pt>
              <pt idx="29">
                <v>0.4 BFECST-MFST</v>
              </pt>
              <pt idx="30">
                <v>0.4 BFCTST-BFCOST</v>
              </pt>
              <pt idx="31">
                <v>0.4 BFIVST-BFCOST</v>
              </pt>
              <pt idx="32">
                <v>0.4 BFECST-BFCOST</v>
              </pt>
              <pt idx="33">
                <v>0.4 BFIVST-BFCTST</v>
              </pt>
              <pt idx="34">
                <v>0.4 BFECST-BFCTST</v>
              </pt>
              <pt idx="35">
                <v>0.4 BFIVST-BFECST</v>
              </pt>
            </strLit>
          </cat>
          <val>
            <numLit>
              <formatCode>General</formatCode>
              <ptCount val="36"/>
              <pt idx="0">
                <v>27</v>
              </pt>
              <pt idx="1">
                <v>50</v>
              </pt>
              <pt idx="6">
                <v>28</v>
              </pt>
              <pt idx="21">
                <v>27</v>
              </pt>
              <pt idx="22">
                <v>27</v>
              </pt>
              <pt idx="23">
                <v>27</v>
              </pt>
              <pt idx="24">
                <v>27</v>
              </pt>
              <pt idx="25">
                <v>28</v>
              </pt>
              <pt idx="26">
                <v>26</v>
              </pt>
              <pt idx="27">
                <v>27</v>
              </pt>
              <pt idx="28">
                <v>27</v>
              </pt>
              <pt idx="29">
                <v>27</v>
              </pt>
            </numLit>
          </val>
          <smooth val="0"/>
        </ser>
        <ser>
          <idx val="13"/>
          <order val="13"/>
          <tx>
            <v>Moment (S)y</v>
          </tx>
          <spPr>
            <a:ln w="25400" cap="rnd">
              <a:noFill/>
              <a:prstDash val="solid"/>
              <a:round/>
            </a:ln>
          </spPr>
          <marker>
            <symbol val="circle"/>
            <size val="6"/>
            <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cat>
            <strLit>
              <ptCount val="36"/>
              <pt idx="0">
                <v>0.4 MFRC-MFRC</v>
              </pt>
              <pt idx="1">
                <v>0.4 MFST-MFST</v>
              </pt>
              <pt idx="2">
                <v>0.4 BFCOST-BFCOST</v>
              </pt>
              <pt idx="3">
                <v>0.4 BFCTST-BFCTST</v>
              </pt>
              <pt idx="4">
                <v>0.4 BFIVST-BFIVST</v>
              </pt>
              <pt idx="5">
                <v>0.4 BFECST-BFECST</v>
              </pt>
              <pt idx="6">
                <v>0.4 MFRC-MFST</v>
              </pt>
              <pt idx="7">
                <v>0.4 MFRC-BFCOST</v>
              </pt>
              <pt idx="8">
                <v>0.4 MFRC-BFCTST</v>
              </pt>
              <pt idx="9">
                <v>0.4 MFRC-BFIVST</v>
              </pt>
              <pt idx="10">
                <v>0.4 MFRC-BFECST</v>
              </pt>
              <pt idx="11">
                <v>0.4 MFST-BFCOST</v>
              </pt>
              <pt idx="12">
                <v>0.4 MFST-BFCTST</v>
              </pt>
              <pt idx="13">
                <v>0.4 MFST-BFIVST</v>
              </pt>
              <pt idx="14">
                <v>0.4 MFST-BFECST</v>
              </pt>
              <pt idx="15">
                <v>0.4 BFCOST-BFCTST</v>
              </pt>
              <pt idx="16">
                <v>0.4 BFCOST-BFIVST</v>
              </pt>
              <pt idx="17">
                <v>0.4 BFCOST-BFECST</v>
              </pt>
              <pt idx="18">
                <v>0.4 BFCTST-BFIVST</v>
              </pt>
              <pt idx="19">
                <v>0.4 BFCTST-BFECST</v>
              </pt>
              <pt idx="20">
                <v>0.4 BFECST-BFIVST</v>
              </pt>
              <pt idx="21">
                <v>0.4 MFST-MFRC</v>
              </pt>
              <pt idx="22">
                <v>0.4 BFCOST-MFRC</v>
              </pt>
              <pt idx="23">
                <v>0.4 BFCTST-MFRC</v>
              </pt>
              <pt idx="24">
                <v>0.4 BFIVST-MFRC</v>
              </pt>
              <pt idx="25">
                <v>0.4 BFECST-MFRC</v>
              </pt>
              <pt idx="26">
                <v>0.4 BFCOST-MFST</v>
              </pt>
              <pt idx="27">
                <v>0.4 BFCTST-MFST</v>
              </pt>
              <pt idx="28">
                <v>0.4 BFIVST-MFST</v>
              </pt>
              <pt idx="29">
                <v>0.4 BFECST-MFST</v>
              </pt>
              <pt idx="30">
                <v>0.4 BFCTST-BFCOST</v>
              </pt>
              <pt idx="31">
                <v>0.4 BFIVST-BFCOST</v>
              </pt>
              <pt idx="32">
                <v>0.4 BFECST-BFCOST</v>
              </pt>
              <pt idx="33">
                <v>0.4 BFIVST-BFCTST</v>
              </pt>
              <pt idx="34">
                <v>0.4 BFECST-BFCTST</v>
              </pt>
              <pt idx="35">
                <v>0.4 BFIVST-BFECST</v>
              </pt>
            </strLit>
          </cat>
          <val>
            <numLit>
              <formatCode>General</formatCode>
              <ptCount val="36"/>
              <pt idx="0">
                <v>31</v>
              </pt>
              <pt idx="1">
                <v>40</v>
              </pt>
              <pt idx="6">
                <v>22</v>
              </pt>
              <pt idx="21">
                <v>31</v>
              </pt>
              <pt idx="22">
                <v>31</v>
              </pt>
              <pt idx="23">
                <v>31</v>
              </pt>
              <pt idx="24">
                <v>31</v>
              </pt>
              <pt idx="25">
                <v>31</v>
              </pt>
              <pt idx="26">
                <v>21</v>
              </pt>
              <pt idx="27">
                <v>21</v>
              </pt>
              <pt idx="28">
                <v>21</v>
              </pt>
              <pt idx="29">
                <v>21</v>
              </pt>
            </numLit>
          </val>
          <smooth val="0"/>
        </ser>
        <ser>
          <idx val="14"/>
          <order val="14"/>
          <tx>
            <v>Drift (S)y</v>
          </tx>
          <spPr>
            <a:ln w="25400" cap="rnd">
              <a:noFill/>
              <a:prstDash val="solid"/>
              <a:round/>
            </a:ln>
          </spPr>
          <marker>
            <symbol val="plus"/>
            <size val="6"/>
            <spPr>
              <a:noFill/>
              <a:ln w="9525">
                <a:solidFill>
                  <a:schemeClr val="accent4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cat>
            <strLit>
              <ptCount val="36"/>
              <pt idx="0">
                <v>0.4 MFRC-MFRC</v>
              </pt>
              <pt idx="1">
                <v>0.4 MFST-MFST</v>
              </pt>
              <pt idx="2">
                <v>0.4 BFCOST-BFCOST</v>
              </pt>
              <pt idx="3">
                <v>0.4 BFCTST-BFCTST</v>
              </pt>
              <pt idx="4">
                <v>0.4 BFIVST-BFIVST</v>
              </pt>
              <pt idx="5">
                <v>0.4 BFECST-BFECST</v>
              </pt>
              <pt idx="6">
                <v>0.4 MFRC-MFST</v>
              </pt>
              <pt idx="7">
                <v>0.4 MFRC-BFCOST</v>
              </pt>
              <pt idx="8">
                <v>0.4 MFRC-BFCTST</v>
              </pt>
              <pt idx="9">
                <v>0.4 MFRC-BFIVST</v>
              </pt>
              <pt idx="10">
                <v>0.4 MFRC-BFECST</v>
              </pt>
              <pt idx="11">
                <v>0.4 MFST-BFCOST</v>
              </pt>
              <pt idx="12">
                <v>0.4 MFST-BFCTST</v>
              </pt>
              <pt idx="13">
                <v>0.4 MFST-BFIVST</v>
              </pt>
              <pt idx="14">
                <v>0.4 MFST-BFECST</v>
              </pt>
              <pt idx="15">
                <v>0.4 BFCOST-BFCTST</v>
              </pt>
              <pt idx="16">
                <v>0.4 BFCOST-BFIVST</v>
              </pt>
              <pt idx="17">
                <v>0.4 BFCOST-BFECST</v>
              </pt>
              <pt idx="18">
                <v>0.4 BFCTST-BFIVST</v>
              </pt>
              <pt idx="19">
                <v>0.4 BFCTST-BFECST</v>
              </pt>
              <pt idx="20">
                <v>0.4 BFECST-BFIVST</v>
              </pt>
              <pt idx="21">
                <v>0.4 MFST-MFRC</v>
              </pt>
              <pt idx="22">
                <v>0.4 BFCOST-MFRC</v>
              </pt>
              <pt idx="23">
                <v>0.4 BFCTST-MFRC</v>
              </pt>
              <pt idx="24">
                <v>0.4 BFIVST-MFRC</v>
              </pt>
              <pt idx="25">
                <v>0.4 BFECST-MFRC</v>
              </pt>
              <pt idx="26">
                <v>0.4 BFCOST-MFST</v>
              </pt>
              <pt idx="27">
                <v>0.4 BFCTST-MFST</v>
              </pt>
              <pt idx="28">
                <v>0.4 BFIVST-MFST</v>
              </pt>
              <pt idx="29">
                <v>0.4 BFECST-MFST</v>
              </pt>
              <pt idx="30">
                <v>0.4 BFCTST-BFCOST</v>
              </pt>
              <pt idx="31">
                <v>0.4 BFIVST-BFCOST</v>
              </pt>
              <pt idx="32">
                <v>0.4 BFECST-BFCOST</v>
              </pt>
              <pt idx="33">
                <v>0.4 BFIVST-BFCTST</v>
              </pt>
              <pt idx="34">
                <v>0.4 BFECST-BFCTST</v>
              </pt>
              <pt idx="35">
                <v>0.4 BFIVST-BFECST</v>
              </pt>
            </strLit>
          </cat>
          <val>
            <numLit>
              <formatCode>General</formatCode>
              <ptCount val="36"/>
              <pt idx="0">
                <v>47</v>
              </pt>
              <pt idx="1">
                <v>46</v>
              </pt>
              <pt idx="2">
                <v>58</v>
              </pt>
              <pt idx="3">
                <v>49</v>
              </pt>
              <pt idx="4">
                <v>72</v>
              </pt>
              <pt idx="5">
                <v>87</v>
              </pt>
              <pt idx="6">
                <v>29</v>
              </pt>
              <pt idx="7">
                <v>51</v>
              </pt>
              <pt idx="8">
                <v>53</v>
              </pt>
              <pt idx="9">
                <v>76</v>
              </pt>
              <pt idx="10">
                <v>90</v>
              </pt>
              <pt idx="11">
                <v>58</v>
              </pt>
              <pt idx="12">
                <v>49</v>
              </pt>
              <pt idx="13">
                <v>71</v>
              </pt>
              <pt idx="14">
                <v>85</v>
              </pt>
              <pt idx="15">
                <v>49</v>
              </pt>
              <pt idx="16">
                <v>71</v>
              </pt>
              <pt idx="17">
                <v>85</v>
              </pt>
              <pt idx="18">
                <v>72</v>
              </pt>
              <pt idx="19">
                <v>86</v>
              </pt>
              <pt idx="20">
                <v>73</v>
              </pt>
              <pt idx="21">
                <v>49</v>
              </pt>
              <pt idx="22">
                <v>48</v>
              </pt>
              <pt idx="23">
                <v>49</v>
              </pt>
              <pt idx="24">
                <v>49</v>
              </pt>
              <pt idx="25">
                <v>49</v>
              </pt>
              <pt idx="26">
                <v>27</v>
              </pt>
              <pt idx="27">
                <v>27</v>
              </pt>
              <pt idx="28">
                <v>27</v>
              </pt>
              <pt idx="29">
                <v>27</v>
              </pt>
              <pt idx="30">
                <v>48</v>
              </pt>
              <pt idx="31">
                <v>49</v>
              </pt>
              <pt idx="32">
                <v>49</v>
              </pt>
              <pt idx="33">
                <v>50</v>
              </pt>
              <pt idx="34">
                <v>50</v>
              </pt>
              <pt idx="35">
                <v>86</v>
              </pt>
            </numLit>
          </val>
          <smooth val="0"/>
        </ser>
        <ser>
          <idx val="15"/>
          <order val="15"/>
          <tx>
            <v>Braced (S)y</v>
          </tx>
          <spPr>
            <a:ln w="25400" cap="rnd">
              <a:noFill/>
              <a:prstDash val="solid"/>
              <a:round/>
            </a:ln>
          </spPr>
          <marker>
            <symbol val="dot"/>
            <size val="6"/>
            <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cat>
            <strLit>
              <ptCount val="36"/>
              <pt idx="0">
                <v>0.4 MFRC-MFRC</v>
              </pt>
              <pt idx="1">
                <v>0.4 MFST-MFST</v>
              </pt>
              <pt idx="2">
                <v>0.4 BFCOST-BFCOST</v>
              </pt>
              <pt idx="3">
                <v>0.4 BFCTST-BFCTST</v>
              </pt>
              <pt idx="4">
                <v>0.4 BFIVST-BFIVST</v>
              </pt>
              <pt idx="5">
                <v>0.4 BFECST-BFECST</v>
              </pt>
              <pt idx="6">
                <v>0.4 MFRC-MFST</v>
              </pt>
              <pt idx="7">
                <v>0.4 MFRC-BFCOST</v>
              </pt>
              <pt idx="8">
                <v>0.4 MFRC-BFCTST</v>
              </pt>
              <pt idx="9">
                <v>0.4 MFRC-BFIVST</v>
              </pt>
              <pt idx="10">
                <v>0.4 MFRC-BFECST</v>
              </pt>
              <pt idx="11">
                <v>0.4 MFST-BFCOST</v>
              </pt>
              <pt idx="12">
                <v>0.4 MFST-BFCTST</v>
              </pt>
              <pt idx="13">
                <v>0.4 MFST-BFIVST</v>
              </pt>
              <pt idx="14">
                <v>0.4 MFST-BFECST</v>
              </pt>
              <pt idx="15">
                <v>0.4 BFCOST-BFCTST</v>
              </pt>
              <pt idx="16">
                <v>0.4 BFCOST-BFIVST</v>
              </pt>
              <pt idx="17">
                <v>0.4 BFCOST-BFECST</v>
              </pt>
              <pt idx="18">
                <v>0.4 BFCTST-BFIVST</v>
              </pt>
              <pt idx="19">
                <v>0.4 BFCTST-BFECST</v>
              </pt>
              <pt idx="20">
                <v>0.4 BFECST-BFIVST</v>
              </pt>
              <pt idx="21">
                <v>0.4 MFST-MFRC</v>
              </pt>
              <pt idx="22">
                <v>0.4 BFCOST-MFRC</v>
              </pt>
              <pt idx="23">
                <v>0.4 BFCTST-MFRC</v>
              </pt>
              <pt idx="24">
                <v>0.4 BFIVST-MFRC</v>
              </pt>
              <pt idx="25">
                <v>0.4 BFECST-MFRC</v>
              </pt>
              <pt idx="26">
                <v>0.4 BFCOST-MFST</v>
              </pt>
              <pt idx="27">
                <v>0.4 BFCTST-MFST</v>
              </pt>
              <pt idx="28">
                <v>0.4 BFIVST-MFST</v>
              </pt>
              <pt idx="29">
                <v>0.4 BFECST-MFST</v>
              </pt>
              <pt idx="30">
                <v>0.4 BFCTST-BFCOST</v>
              </pt>
              <pt idx="31">
                <v>0.4 BFIVST-BFCOST</v>
              </pt>
              <pt idx="32">
                <v>0.4 BFECST-BFCOST</v>
              </pt>
              <pt idx="33">
                <v>0.4 BFIVST-BFCTST</v>
              </pt>
              <pt idx="34">
                <v>0.4 BFECST-BFCTST</v>
              </pt>
              <pt idx="35">
                <v>0.4 BFIVST-BFECST</v>
              </pt>
            </strLit>
          </cat>
          <val>
            <numLit>
              <formatCode>General</formatCode>
              <ptCount val="36"/>
              <pt idx="2">
                <v>17</v>
              </pt>
              <pt idx="3">
                <v>18</v>
              </pt>
              <pt idx="4">
                <v>16</v>
              </pt>
              <pt idx="5">
                <v>26</v>
              </pt>
              <pt idx="7">
                <v>19</v>
              </pt>
              <pt idx="8">
                <v>20</v>
              </pt>
              <pt idx="9">
                <v>17</v>
              </pt>
              <pt idx="10">
                <v>27</v>
              </pt>
              <pt idx="11">
                <v>17</v>
              </pt>
              <pt idx="12">
                <v>18</v>
              </pt>
              <pt idx="13">
                <v>16</v>
              </pt>
              <pt idx="14">
                <v>25</v>
              </pt>
              <pt idx="15">
                <v>18</v>
              </pt>
              <pt idx="16">
                <v>16</v>
              </pt>
              <pt idx="17">
                <v>25</v>
              </pt>
              <pt idx="18">
                <v>16</v>
              </pt>
              <pt idx="19">
                <v>25</v>
              </pt>
              <pt idx="20">
                <v>17</v>
              </pt>
              <pt idx="30">
                <v>17</v>
              </pt>
              <pt idx="31">
                <v>18</v>
              </pt>
              <pt idx="32">
                <v>18</v>
              </pt>
              <pt idx="33">
                <v>19</v>
              </pt>
              <pt idx="34">
                <v>19</v>
              </pt>
              <pt idx="35">
                <v>26</v>
              </pt>
            </numLit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286237264"/>
        <axId val="1286246864"/>
      </lineChart>
      <catAx>
        <axId val="1286237264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800" b="0" i="0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86246864"/>
        <crosses val="autoZero"/>
        <auto val="1"/>
        <lblAlgn val="ctr"/>
        <lblOffset val="100"/>
        <noMultiLvlLbl val="0"/>
      </catAx>
      <valAx>
        <axId val="1286246864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286237264"/>
        <crosses val="autoZero"/>
        <crossBetween val="between"/>
      </valAx>
    </plotArea>
    <legend>
      <legendPos val="t"/>
      <layout>
        <manualLayout>
          <xMode val="edge"/>
          <yMode val="edge"/>
          <wMode val="factor"/>
          <hMode val="factor"/>
          <x val="0.008002547671218567"/>
          <y val="0.895297384061429"/>
          <w val="0.9711143914857208"/>
          <h val="0.08704370502123311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8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6102057833041902"/>
          <y val="0.03556984301442794"/>
          <w val="0.9154186365304492"/>
          <h val="0.6065934219982052"/>
        </manualLayout>
      </layout>
      <lineChart>
        <grouping val="standard"/>
        <varyColors val="0"/>
        <ser>
          <idx val="0"/>
          <order val="0"/>
          <tx>
            <v>Shear (U)x</v>
          </tx>
          <spPr>
            <a:ln w="25400" cap="rnd">
              <a:noFill/>
              <a:prstDash val="solid"/>
              <a:round/>
            </a:ln>
          </spPr>
          <marker>
            <symbol val="diamond"/>
            <size val="6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  <a:round/>
              </a:ln>
            </spPr>
          </marker>
          <cat>
            <strLit>
              <ptCount val="36"/>
              <pt idx="0">
                <v>0.5 MFRC-MFRC</v>
              </pt>
              <pt idx="1">
                <v>0.5 MFST-MFST</v>
              </pt>
              <pt idx="2">
                <v>0.5 BFCOST-BFCOST</v>
              </pt>
              <pt idx="3">
                <v>0.5 BFCTST-BFCTST</v>
              </pt>
              <pt idx="4">
                <v>0.5 BFIVST-BFIVST</v>
              </pt>
              <pt idx="5">
                <v>0.5 BFECST-BFECST</v>
              </pt>
              <pt idx="6">
                <v>0.5 MFRC-MFST</v>
              </pt>
              <pt idx="7">
                <v>0.5 MFRC-BFCOST</v>
              </pt>
              <pt idx="8">
                <v>0.5 MFRC-BFCTST</v>
              </pt>
              <pt idx="9">
                <v>0.5 MFRC-BFIVST</v>
              </pt>
              <pt idx="10">
                <v>0.5 MFRC-BFECST</v>
              </pt>
              <pt idx="11">
                <v>0.5 MFST-BFCOST</v>
              </pt>
              <pt idx="12">
                <v>0.5 MFST-BFCTST</v>
              </pt>
              <pt idx="13">
                <v>0.5 MFST-BFIVST</v>
              </pt>
              <pt idx="14">
                <v>0.5 MFST-BFECST</v>
              </pt>
              <pt idx="15">
                <v>0.5 BFCOST-BFCTST</v>
              </pt>
              <pt idx="16">
                <v>0.5 BFCOST-BFIVST</v>
              </pt>
              <pt idx="17">
                <v>0.5 BFCOST-BFECST</v>
              </pt>
              <pt idx="18">
                <v>0.5 BFCTST-BFIVST</v>
              </pt>
              <pt idx="19">
                <v>0.5 BFCTST-BFECST</v>
              </pt>
              <pt idx="20">
                <v>0.5 BFECST-BFIVST</v>
              </pt>
              <pt idx="21">
                <v>0.5 MFST-MFRC</v>
              </pt>
              <pt idx="22">
                <v>0.5 BFCOST-MFRC</v>
              </pt>
              <pt idx="23">
                <v>0.5 BFCTST-MFRC</v>
              </pt>
              <pt idx="24">
                <v>0.5 BFIVST-MFRC</v>
              </pt>
              <pt idx="25">
                <v>0.5 BFECST-MFRC</v>
              </pt>
              <pt idx="26">
                <v>0.5 BFCOST-MFST</v>
              </pt>
              <pt idx="27">
                <v>0.5 BFCTST-MFST</v>
              </pt>
              <pt idx="28">
                <v>0.5 BFIVST-MFST</v>
              </pt>
              <pt idx="29">
                <v>0.5 BFECST-MFST</v>
              </pt>
              <pt idx="30">
                <v>0.5 BFCTST-BFCOST</v>
              </pt>
              <pt idx="31">
                <v>0.5 BFIVST-BFCOST</v>
              </pt>
              <pt idx="32">
                <v>0.5 BFECST-BFCOST</v>
              </pt>
              <pt idx="33">
                <v>0.5 BFIVST-BFCTST</v>
              </pt>
              <pt idx="34">
                <v>0.5 BFECST-BFCTST</v>
              </pt>
              <pt idx="35">
                <v>0.5 BFIVST-BFECST</v>
              </pt>
            </strLit>
          </cat>
          <val>
            <numLit>
              <formatCode>General</formatCode>
              <ptCount val="36"/>
              <pt idx="0">
                <v>50</v>
              </pt>
              <pt idx="1">
                <v>74</v>
              </pt>
              <pt idx="6">
                <v>70</v>
              </pt>
              <pt idx="7">
                <v>71</v>
              </pt>
              <pt idx="8">
                <v>79</v>
              </pt>
              <pt idx="9">
                <v>48</v>
              </pt>
              <pt idx="10">
                <v>70</v>
              </pt>
              <pt idx="11">
                <v>56</v>
              </pt>
              <pt idx="12">
                <v>56</v>
              </pt>
              <pt idx="13">
                <v>57</v>
              </pt>
              <pt idx="14">
                <v>57</v>
              </pt>
              <pt idx="21">
                <v>80</v>
              </pt>
            </numLit>
          </val>
          <smooth val="0"/>
        </ser>
        <ser>
          <idx val="1"/>
          <order val="1"/>
          <tx>
            <v>Moment (U)x</v>
          </tx>
          <spPr>
            <a:ln w="25400" cap="rnd">
              <a:noFill/>
              <a:prstDash val="solid"/>
              <a:round/>
            </a:ln>
          </spPr>
          <marker>
            <symbol val="square"/>
            <size val="6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  <a:round/>
              </a:ln>
            </spPr>
          </marker>
          <cat>
            <strLit>
              <ptCount val="36"/>
              <pt idx="0">
                <v>0.5 MFRC-MFRC</v>
              </pt>
              <pt idx="1">
                <v>0.5 MFST-MFST</v>
              </pt>
              <pt idx="2">
                <v>0.5 BFCOST-BFCOST</v>
              </pt>
              <pt idx="3">
                <v>0.5 BFCTST-BFCTST</v>
              </pt>
              <pt idx="4">
                <v>0.5 BFIVST-BFIVST</v>
              </pt>
              <pt idx="5">
                <v>0.5 BFECST-BFECST</v>
              </pt>
              <pt idx="6">
                <v>0.5 MFRC-MFST</v>
              </pt>
              <pt idx="7">
                <v>0.5 MFRC-BFCOST</v>
              </pt>
              <pt idx="8">
                <v>0.5 MFRC-BFCTST</v>
              </pt>
              <pt idx="9">
                <v>0.5 MFRC-BFIVST</v>
              </pt>
              <pt idx="10">
                <v>0.5 MFRC-BFECST</v>
              </pt>
              <pt idx="11">
                <v>0.5 MFST-BFCOST</v>
              </pt>
              <pt idx="12">
                <v>0.5 MFST-BFCTST</v>
              </pt>
              <pt idx="13">
                <v>0.5 MFST-BFIVST</v>
              </pt>
              <pt idx="14">
                <v>0.5 MFST-BFECST</v>
              </pt>
              <pt idx="15">
                <v>0.5 BFCOST-BFCTST</v>
              </pt>
              <pt idx="16">
                <v>0.5 BFCOST-BFIVST</v>
              </pt>
              <pt idx="17">
                <v>0.5 BFCOST-BFECST</v>
              </pt>
              <pt idx="18">
                <v>0.5 BFCTST-BFIVST</v>
              </pt>
              <pt idx="19">
                <v>0.5 BFCTST-BFECST</v>
              </pt>
              <pt idx="20">
                <v>0.5 BFECST-BFIVST</v>
              </pt>
              <pt idx="21">
                <v>0.5 MFST-MFRC</v>
              </pt>
              <pt idx="22">
                <v>0.5 BFCOST-MFRC</v>
              </pt>
              <pt idx="23">
                <v>0.5 BFCTST-MFRC</v>
              </pt>
              <pt idx="24">
                <v>0.5 BFIVST-MFRC</v>
              </pt>
              <pt idx="25">
                <v>0.5 BFECST-MFRC</v>
              </pt>
              <pt idx="26">
                <v>0.5 BFCOST-MFST</v>
              </pt>
              <pt idx="27">
                <v>0.5 BFCTST-MFST</v>
              </pt>
              <pt idx="28">
                <v>0.5 BFIVST-MFST</v>
              </pt>
              <pt idx="29">
                <v>0.5 BFECST-MFST</v>
              </pt>
              <pt idx="30">
                <v>0.5 BFCTST-BFCOST</v>
              </pt>
              <pt idx="31">
                <v>0.5 BFIVST-BFCOST</v>
              </pt>
              <pt idx="32">
                <v>0.5 BFECST-BFCOST</v>
              </pt>
              <pt idx="33">
                <v>0.5 BFIVST-BFCTST</v>
              </pt>
              <pt idx="34">
                <v>0.5 BFECST-BFCTST</v>
              </pt>
              <pt idx="35">
                <v>0.5 BFIVST-BFECST</v>
              </pt>
            </strLit>
          </cat>
          <val>
            <numLit>
              <formatCode>General</formatCode>
              <ptCount val="36"/>
              <pt idx="0">
                <v>84</v>
              </pt>
              <pt idx="1">
                <v>53</v>
              </pt>
              <pt idx="6">
                <v>96</v>
              </pt>
              <pt idx="7">
                <v>98</v>
              </pt>
              <pt idx="8">
                <v>98</v>
              </pt>
              <pt idx="9">
                <v>80</v>
              </pt>
              <pt idx="10">
                <v>93</v>
              </pt>
              <pt idx="11">
                <v>71</v>
              </pt>
              <pt idx="12">
                <v>72</v>
              </pt>
              <pt idx="13">
                <v>73</v>
              </pt>
              <pt idx="14">
                <v>73</v>
              </pt>
              <pt idx="21">
                <v>59</v>
              </pt>
            </numLit>
          </val>
          <smooth val="0"/>
        </ser>
        <ser>
          <idx val="2"/>
          <order val="2"/>
          <tx>
            <v>Drift (U)x</v>
          </tx>
          <spPr>
            <a:ln w="25400" cap="rnd">
              <a:noFill/>
              <a:prstDash val="solid"/>
              <a:round/>
            </a:ln>
          </spPr>
          <marker>
            <symbol val="triangle"/>
            <size val="6"/>
            <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  <a:round/>
              </a:ln>
            </spPr>
          </marker>
          <cat>
            <strLit>
              <ptCount val="36"/>
              <pt idx="0">
                <v>0.5 MFRC-MFRC</v>
              </pt>
              <pt idx="1">
                <v>0.5 MFST-MFST</v>
              </pt>
              <pt idx="2">
                <v>0.5 BFCOST-BFCOST</v>
              </pt>
              <pt idx="3">
                <v>0.5 BFCTST-BFCTST</v>
              </pt>
              <pt idx="4">
                <v>0.5 BFIVST-BFIVST</v>
              </pt>
              <pt idx="5">
                <v>0.5 BFECST-BFECST</v>
              </pt>
              <pt idx="6">
                <v>0.5 MFRC-MFST</v>
              </pt>
              <pt idx="7">
                <v>0.5 MFRC-BFCOST</v>
              </pt>
              <pt idx="8">
                <v>0.5 MFRC-BFCTST</v>
              </pt>
              <pt idx="9">
                <v>0.5 MFRC-BFIVST</v>
              </pt>
              <pt idx="10">
                <v>0.5 MFRC-BFECST</v>
              </pt>
              <pt idx="11">
                <v>0.5 MFST-BFCOST</v>
              </pt>
              <pt idx="12">
                <v>0.5 MFST-BFCTST</v>
              </pt>
              <pt idx="13">
                <v>0.5 MFST-BFIVST</v>
              </pt>
              <pt idx="14">
                <v>0.5 MFST-BFECST</v>
              </pt>
              <pt idx="15">
                <v>0.5 BFCOST-BFCTST</v>
              </pt>
              <pt idx="16">
                <v>0.5 BFCOST-BFIVST</v>
              </pt>
              <pt idx="17">
                <v>0.5 BFCOST-BFECST</v>
              </pt>
              <pt idx="18">
                <v>0.5 BFCTST-BFIVST</v>
              </pt>
              <pt idx="19">
                <v>0.5 BFCTST-BFECST</v>
              </pt>
              <pt idx="20">
                <v>0.5 BFECST-BFIVST</v>
              </pt>
              <pt idx="21">
                <v>0.5 MFST-MFRC</v>
              </pt>
              <pt idx="22">
                <v>0.5 BFCOST-MFRC</v>
              </pt>
              <pt idx="23">
                <v>0.5 BFCTST-MFRC</v>
              </pt>
              <pt idx="24">
                <v>0.5 BFIVST-MFRC</v>
              </pt>
              <pt idx="25">
                <v>0.5 BFECST-MFRC</v>
              </pt>
              <pt idx="26">
                <v>0.5 BFCOST-MFST</v>
              </pt>
              <pt idx="27">
                <v>0.5 BFCTST-MFST</v>
              </pt>
              <pt idx="28">
                <v>0.5 BFIVST-MFST</v>
              </pt>
              <pt idx="29">
                <v>0.5 BFECST-MFST</v>
              </pt>
              <pt idx="30">
                <v>0.5 BFCTST-BFCOST</v>
              </pt>
              <pt idx="31">
                <v>0.5 BFIVST-BFCOST</v>
              </pt>
              <pt idx="32">
                <v>0.5 BFECST-BFCOST</v>
              </pt>
              <pt idx="33">
                <v>0.5 BFIVST-BFCTST</v>
              </pt>
              <pt idx="34">
                <v>0.5 BFECST-BFCTST</v>
              </pt>
              <pt idx="35">
                <v>0.5 BFIVST-BFECST</v>
              </pt>
            </strLit>
          </cat>
          <val>
            <numLit>
              <formatCode>General</formatCode>
              <ptCount val="36"/>
              <pt idx="0">
                <v>69</v>
              </pt>
              <pt idx="1">
                <v>28</v>
              </pt>
              <pt idx="2">
                <v>43</v>
              </pt>
              <pt idx="3">
                <v>43</v>
              </pt>
              <pt idx="4">
                <v>72</v>
              </pt>
              <pt idx="5">
                <v>86</v>
              </pt>
              <pt idx="6">
                <v>69</v>
              </pt>
              <pt idx="7">
                <v>70</v>
              </pt>
              <pt idx="8">
                <v>59</v>
              </pt>
              <pt idx="9">
                <v>66</v>
              </pt>
              <pt idx="10">
                <v>66</v>
              </pt>
              <pt idx="11">
                <v>25</v>
              </pt>
              <pt idx="12">
                <v>25</v>
              </pt>
              <pt idx="13">
                <v>26</v>
              </pt>
              <pt idx="14">
                <v>26</v>
              </pt>
              <pt idx="15">
                <v>43</v>
              </pt>
              <pt idx="16">
                <v>44</v>
              </pt>
              <pt idx="17">
                <v>44</v>
              </pt>
              <pt idx="18">
                <v>43</v>
              </pt>
              <pt idx="19">
                <v>44</v>
              </pt>
              <pt idx="20">
                <v>86</v>
              </pt>
              <pt idx="21">
                <v>30</v>
              </pt>
              <pt idx="22">
                <v>47</v>
              </pt>
              <pt idx="23">
                <v>46</v>
              </pt>
              <pt idx="24">
                <v>73</v>
              </pt>
              <pt idx="25">
                <v>86</v>
              </pt>
              <pt idx="26">
                <v>43</v>
              </pt>
              <pt idx="27">
                <v>43</v>
              </pt>
              <pt idx="28">
                <v>70</v>
              </pt>
              <pt idx="29">
                <v>84</v>
              </pt>
              <pt idx="30">
                <v>43</v>
              </pt>
              <pt idx="31">
                <v>70</v>
              </pt>
              <pt idx="32">
                <v>84</v>
              </pt>
              <pt idx="33">
                <v>71</v>
              </pt>
              <pt idx="34">
                <v>85</v>
              </pt>
              <pt idx="35">
                <v>72</v>
              </pt>
            </numLit>
          </val>
          <smooth val="0"/>
        </ser>
        <ser>
          <idx val="3"/>
          <order val="3"/>
          <tx>
            <v>Braced (U)x</v>
          </tx>
          <spPr>
            <a:ln w="25400" cap="rnd">
              <a:noFill/>
              <a:prstDash val="solid"/>
              <a:round/>
            </a:ln>
          </spPr>
          <marker>
            <symbol val="x"/>
            <size val="6"/>
            <spPr>
              <a:noFill/>
              <a:ln w="9525">
                <a:solidFill>
                  <a:schemeClr val="accent4"/>
                </a:solidFill>
                <a:prstDash val="solid"/>
                <a:round/>
              </a:ln>
            </spPr>
          </marker>
          <cat>
            <strLit>
              <ptCount val="36"/>
              <pt idx="0">
                <v>0.5 MFRC-MFRC</v>
              </pt>
              <pt idx="1">
                <v>0.5 MFST-MFST</v>
              </pt>
              <pt idx="2">
                <v>0.5 BFCOST-BFCOST</v>
              </pt>
              <pt idx="3">
                <v>0.5 BFCTST-BFCTST</v>
              </pt>
              <pt idx="4">
                <v>0.5 BFIVST-BFIVST</v>
              </pt>
              <pt idx="5">
                <v>0.5 BFECST-BFECST</v>
              </pt>
              <pt idx="6">
                <v>0.5 MFRC-MFST</v>
              </pt>
              <pt idx="7">
                <v>0.5 MFRC-BFCOST</v>
              </pt>
              <pt idx="8">
                <v>0.5 MFRC-BFCTST</v>
              </pt>
              <pt idx="9">
                <v>0.5 MFRC-BFIVST</v>
              </pt>
              <pt idx="10">
                <v>0.5 MFRC-BFECST</v>
              </pt>
              <pt idx="11">
                <v>0.5 MFST-BFCOST</v>
              </pt>
              <pt idx="12">
                <v>0.5 MFST-BFCTST</v>
              </pt>
              <pt idx="13">
                <v>0.5 MFST-BFIVST</v>
              </pt>
              <pt idx="14">
                <v>0.5 MFST-BFECST</v>
              </pt>
              <pt idx="15">
                <v>0.5 BFCOST-BFCTST</v>
              </pt>
              <pt idx="16">
                <v>0.5 BFCOST-BFIVST</v>
              </pt>
              <pt idx="17">
                <v>0.5 BFCOST-BFECST</v>
              </pt>
              <pt idx="18">
                <v>0.5 BFCTST-BFIVST</v>
              </pt>
              <pt idx="19">
                <v>0.5 BFCTST-BFECST</v>
              </pt>
              <pt idx="20">
                <v>0.5 BFECST-BFIVST</v>
              </pt>
              <pt idx="21">
                <v>0.5 MFST-MFRC</v>
              </pt>
              <pt idx="22">
                <v>0.5 BFCOST-MFRC</v>
              </pt>
              <pt idx="23">
                <v>0.5 BFCTST-MFRC</v>
              </pt>
              <pt idx="24">
                <v>0.5 BFIVST-MFRC</v>
              </pt>
              <pt idx="25">
                <v>0.5 BFECST-MFRC</v>
              </pt>
              <pt idx="26">
                <v>0.5 BFCOST-MFST</v>
              </pt>
              <pt idx="27">
                <v>0.5 BFCTST-MFST</v>
              </pt>
              <pt idx="28">
                <v>0.5 BFIVST-MFST</v>
              </pt>
              <pt idx="29">
                <v>0.5 BFECST-MFST</v>
              </pt>
              <pt idx="30">
                <v>0.5 BFCTST-BFCOST</v>
              </pt>
              <pt idx="31">
                <v>0.5 BFIVST-BFCOST</v>
              </pt>
              <pt idx="32">
                <v>0.5 BFECST-BFCOST</v>
              </pt>
              <pt idx="33">
                <v>0.5 BFIVST-BFCTST</v>
              </pt>
              <pt idx="34">
                <v>0.5 BFECST-BFCTST</v>
              </pt>
              <pt idx="35">
                <v>0.5 BFIVST-BFECST</v>
              </pt>
            </strLit>
          </cat>
          <val>
            <numLit>
              <formatCode>General</formatCode>
              <ptCount val="36"/>
              <pt idx="2">
                <v>56</v>
              </pt>
              <pt idx="3">
                <v>87</v>
              </pt>
              <pt idx="4">
                <v>99</v>
              </pt>
              <pt idx="5">
                <v>44</v>
              </pt>
              <pt idx="15">
                <v>57</v>
              </pt>
              <pt idx="16">
                <v>57</v>
              </pt>
              <pt idx="17">
                <v>58</v>
              </pt>
              <pt idx="18">
                <v>88</v>
              </pt>
              <pt idx="19">
                <v>88</v>
              </pt>
              <pt idx="20">
                <v>44</v>
              </pt>
              <pt idx="22">
                <v>61</v>
              </pt>
              <pt idx="23">
                <v>94</v>
              </pt>
              <pt idx="24">
                <v>70</v>
              </pt>
              <pt idx="25">
                <v>31</v>
              </pt>
              <pt idx="26">
                <v>56</v>
              </pt>
              <pt idx="27">
                <v>86</v>
              </pt>
              <pt idx="28">
                <v>97</v>
              </pt>
              <pt idx="29">
                <v>43</v>
              </pt>
              <pt idx="30">
                <v>86</v>
              </pt>
              <pt idx="31">
                <v>97</v>
              </pt>
              <pt idx="32">
                <v>43</v>
              </pt>
              <pt idx="33">
                <v>98</v>
              </pt>
              <pt idx="34">
                <v>43</v>
              </pt>
              <pt idx="35">
                <v>99</v>
              </pt>
            </numLit>
          </val>
          <smooth val="0"/>
        </ser>
        <ser>
          <idx val="4"/>
          <order val="4"/>
          <tx>
            <v>Shear (S)x</v>
          </tx>
          <spPr>
            <a:ln w="25400" cap="rnd">
              <a:noFill/>
              <a:prstDash val="solid"/>
              <a:round/>
            </a:ln>
          </spPr>
          <marker>
            <symbol val="star"/>
            <size val="6"/>
            <spPr>
              <a:noFill/>
              <a:ln w="9525">
                <a:solidFill>
                  <a:schemeClr val="accent5"/>
                </a:solidFill>
                <a:prstDash val="solid"/>
                <a:round/>
              </a:ln>
            </spPr>
          </marker>
          <cat>
            <strLit>
              <ptCount val="36"/>
              <pt idx="0">
                <v>0.5 MFRC-MFRC</v>
              </pt>
              <pt idx="1">
                <v>0.5 MFST-MFST</v>
              </pt>
              <pt idx="2">
                <v>0.5 BFCOST-BFCOST</v>
              </pt>
              <pt idx="3">
                <v>0.5 BFCTST-BFCTST</v>
              </pt>
              <pt idx="4">
                <v>0.5 BFIVST-BFIVST</v>
              </pt>
              <pt idx="5">
                <v>0.5 BFECST-BFECST</v>
              </pt>
              <pt idx="6">
                <v>0.5 MFRC-MFST</v>
              </pt>
              <pt idx="7">
                <v>0.5 MFRC-BFCOST</v>
              </pt>
              <pt idx="8">
                <v>0.5 MFRC-BFCTST</v>
              </pt>
              <pt idx="9">
                <v>0.5 MFRC-BFIVST</v>
              </pt>
              <pt idx="10">
                <v>0.5 MFRC-BFECST</v>
              </pt>
              <pt idx="11">
                <v>0.5 MFST-BFCOST</v>
              </pt>
              <pt idx="12">
                <v>0.5 MFST-BFCTST</v>
              </pt>
              <pt idx="13">
                <v>0.5 MFST-BFIVST</v>
              </pt>
              <pt idx="14">
                <v>0.5 MFST-BFECST</v>
              </pt>
              <pt idx="15">
                <v>0.5 BFCOST-BFCTST</v>
              </pt>
              <pt idx="16">
                <v>0.5 BFCOST-BFIVST</v>
              </pt>
              <pt idx="17">
                <v>0.5 BFCOST-BFECST</v>
              </pt>
              <pt idx="18">
                <v>0.5 BFCTST-BFIVST</v>
              </pt>
              <pt idx="19">
                <v>0.5 BFCTST-BFECST</v>
              </pt>
              <pt idx="20">
                <v>0.5 BFECST-BFIVST</v>
              </pt>
              <pt idx="21">
                <v>0.5 MFST-MFRC</v>
              </pt>
              <pt idx="22">
                <v>0.5 BFCOST-MFRC</v>
              </pt>
              <pt idx="23">
                <v>0.5 BFCTST-MFRC</v>
              </pt>
              <pt idx="24">
                <v>0.5 BFIVST-MFRC</v>
              </pt>
              <pt idx="25">
                <v>0.5 BFECST-MFRC</v>
              </pt>
              <pt idx="26">
                <v>0.5 BFCOST-MFST</v>
              </pt>
              <pt idx="27">
                <v>0.5 BFCTST-MFST</v>
              </pt>
              <pt idx="28">
                <v>0.5 BFIVST-MFST</v>
              </pt>
              <pt idx="29">
                <v>0.5 BFECST-MFST</v>
              </pt>
              <pt idx="30">
                <v>0.5 BFCTST-BFCOST</v>
              </pt>
              <pt idx="31">
                <v>0.5 BFIVST-BFCOST</v>
              </pt>
              <pt idx="32">
                <v>0.5 BFECST-BFCOST</v>
              </pt>
              <pt idx="33">
                <v>0.5 BFIVST-BFCTST</v>
              </pt>
              <pt idx="34">
                <v>0.5 BFECST-BFCTST</v>
              </pt>
              <pt idx="35">
                <v>0.5 BFIVST-BFECST</v>
              </pt>
            </strLit>
          </cat>
          <val>
            <numLit>
              <formatCode>General</formatCode>
              <ptCount val="36"/>
              <pt idx="0">
                <v>36</v>
              </pt>
              <pt idx="1">
                <v>42</v>
              </pt>
              <pt idx="6">
                <v>27</v>
              </pt>
              <pt idx="7">
                <v>27</v>
              </pt>
              <pt idx="8">
                <v>30</v>
              </pt>
              <pt idx="9">
                <v>35</v>
              </pt>
              <pt idx="10">
                <v>27</v>
              </pt>
              <pt idx="11">
                <v>32</v>
              </pt>
              <pt idx="12">
                <v>32</v>
              </pt>
              <pt idx="13">
                <v>32</v>
              </pt>
              <pt idx="14">
                <v>33</v>
              </pt>
              <pt idx="21">
                <v>45</v>
              </pt>
            </numLit>
          </val>
          <smooth val="0"/>
        </ser>
        <ser>
          <idx val="5"/>
          <order val="5"/>
          <tx>
            <v>Moment (S)x</v>
          </tx>
          <spPr>
            <a:ln w="25400" cap="rnd">
              <a:noFill/>
              <a:prstDash val="solid"/>
              <a:round/>
            </a:ln>
          </spPr>
          <marker>
            <symbol val="circle"/>
            <size val="6"/>
            <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  <a:round/>
              </a:ln>
            </spPr>
          </marker>
          <cat>
            <strLit>
              <ptCount val="36"/>
              <pt idx="0">
                <v>0.5 MFRC-MFRC</v>
              </pt>
              <pt idx="1">
                <v>0.5 MFST-MFST</v>
              </pt>
              <pt idx="2">
                <v>0.5 BFCOST-BFCOST</v>
              </pt>
              <pt idx="3">
                <v>0.5 BFCTST-BFCTST</v>
              </pt>
              <pt idx="4">
                <v>0.5 BFIVST-BFIVST</v>
              </pt>
              <pt idx="5">
                <v>0.5 BFECST-BFECST</v>
              </pt>
              <pt idx="6">
                <v>0.5 MFRC-MFST</v>
              </pt>
              <pt idx="7">
                <v>0.5 MFRC-BFCOST</v>
              </pt>
              <pt idx="8">
                <v>0.5 MFRC-BFCTST</v>
              </pt>
              <pt idx="9">
                <v>0.5 MFRC-BFIVST</v>
              </pt>
              <pt idx="10">
                <v>0.5 MFRC-BFECST</v>
              </pt>
              <pt idx="11">
                <v>0.5 MFST-BFCOST</v>
              </pt>
              <pt idx="12">
                <v>0.5 MFST-BFCTST</v>
              </pt>
              <pt idx="13">
                <v>0.5 MFST-BFIVST</v>
              </pt>
              <pt idx="14">
                <v>0.5 MFST-BFECST</v>
              </pt>
              <pt idx="15">
                <v>0.5 BFCOST-BFCTST</v>
              </pt>
              <pt idx="16">
                <v>0.5 BFCOST-BFIVST</v>
              </pt>
              <pt idx="17">
                <v>0.5 BFCOST-BFECST</v>
              </pt>
              <pt idx="18">
                <v>0.5 BFCTST-BFIVST</v>
              </pt>
              <pt idx="19">
                <v>0.5 BFCTST-BFECST</v>
              </pt>
              <pt idx="20">
                <v>0.5 BFECST-BFIVST</v>
              </pt>
              <pt idx="21">
                <v>0.5 MFST-MFRC</v>
              </pt>
              <pt idx="22">
                <v>0.5 BFCOST-MFRC</v>
              </pt>
              <pt idx="23">
                <v>0.5 BFCTST-MFRC</v>
              </pt>
              <pt idx="24">
                <v>0.5 BFIVST-MFRC</v>
              </pt>
              <pt idx="25">
                <v>0.5 BFECST-MFRC</v>
              </pt>
              <pt idx="26">
                <v>0.5 BFCOST-MFST</v>
              </pt>
              <pt idx="27">
                <v>0.5 BFCTST-MFST</v>
              </pt>
              <pt idx="28">
                <v>0.5 BFIVST-MFST</v>
              </pt>
              <pt idx="29">
                <v>0.5 BFECST-MFST</v>
              </pt>
              <pt idx="30">
                <v>0.5 BFCTST-BFCOST</v>
              </pt>
              <pt idx="31">
                <v>0.5 BFIVST-BFCOST</v>
              </pt>
              <pt idx="32">
                <v>0.5 BFECST-BFCOST</v>
              </pt>
              <pt idx="33">
                <v>0.5 BFIVST-BFCTST</v>
              </pt>
              <pt idx="34">
                <v>0.5 BFECST-BFCTST</v>
              </pt>
              <pt idx="35">
                <v>0.5 BFIVST-BFECST</v>
              </pt>
            </strLit>
          </cat>
          <val>
            <numLit>
              <formatCode>General</formatCode>
              <ptCount val="36"/>
              <pt idx="0">
                <v>28</v>
              </pt>
              <pt idx="1">
                <v>27</v>
              </pt>
              <pt idx="6">
                <v>28</v>
              </pt>
              <pt idx="7">
                <v>28</v>
              </pt>
              <pt idx="8">
                <v>26</v>
              </pt>
              <pt idx="9">
                <v>27</v>
              </pt>
              <pt idx="10">
                <v>27</v>
              </pt>
              <pt idx="11">
                <v>25</v>
              </pt>
              <pt idx="12">
                <v>25</v>
              </pt>
              <pt idx="13">
                <v>26</v>
              </pt>
              <pt idx="14">
                <v>26</v>
              </pt>
              <pt idx="21">
                <v>29</v>
              </pt>
            </numLit>
          </val>
          <smooth val="0"/>
        </ser>
        <ser>
          <idx val="6"/>
          <order val="6"/>
          <tx>
            <v>Drift (S)x</v>
          </tx>
          <spPr>
            <a:ln w="25400" cap="rnd">
              <a:noFill/>
              <a:prstDash val="solid"/>
              <a:round/>
            </a:ln>
          </spPr>
          <marker>
            <symbol val="plus"/>
            <size val="6"/>
            <spPr>
              <a:noFill/>
              <a:ln w="9525">
                <a:solidFill>
                  <a:schemeClr val="accent1">
                    <a:lumMod val="60000"/>
                  </a:schemeClr>
                </a:solidFill>
                <a:prstDash val="solid"/>
                <a:round/>
              </a:ln>
            </spPr>
          </marker>
          <cat>
            <strLit>
              <ptCount val="36"/>
              <pt idx="0">
                <v>0.5 MFRC-MFRC</v>
              </pt>
              <pt idx="1">
                <v>0.5 MFST-MFST</v>
              </pt>
              <pt idx="2">
                <v>0.5 BFCOST-BFCOST</v>
              </pt>
              <pt idx="3">
                <v>0.5 BFCTST-BFCTST</v>
              </pt>
              <pt idx="4">
                <v>0.5 BFIVST-BFIVST</v>
              </pt>
              <pt idx="5">
                <v>0.5 BFECST-BFECST</v>
              </pt>
              <pt idx="6">
                <v>0.5 MFRC-MFST</v>
              </pt>
              <pt idx="7">
                <v>0.5 MFRC-BFCOST</v>
              </pt>
              <pt idx="8">
                <v>0.5 MFRC-BFCTST</v>
              </pt>
              <pt idx="9">
                <v>0.5 MFRC-BFIVST</v>
              </pt>
              <pt idx="10">
                <v>0.5 MFRC-BFECST</v>
              </pt>
              <pt idx="11">
                <v>0.5 MFST-BFCOST</v>
              </pt>
              <pt idx="12">
                <v>0.5 MFST-BFCTST</v>
              </pt>
              <pt idx="13">
                <v>0.5 MFST-BFIVST</v>
              </pt>
              <pt idx="14">
                <v>0.5 MFST-BFECST</v>
              </pt>
              <pt idx="15">
                <v>0.5 BFCOST-BFCTST</v>
              </pt>
              <pt idx="16">
                <v>0.5 BFCOST-BFIVST</v>
              </pt>
              <pt idx="17">
                <v>0.5 BFCOST-BFECST</v>
              </pt>
              <pt idx="18">
                <v>0.5 BFCTST-BFIVST</v>
              </pt>
              <pt idx="19">
                <v>0.5 BFCTST-BFECST</v>
              </pt>
              <pt idx="20">
                <v>0.5 BFECST-BFIVST</v>
              </pt>
              <pt idx="21">
                <v>0.5 MFST-MFRC</v>
              </pt>
              <pt idx="22">
                <v>0.5 BFCOST-MFRC</v>
              </pt>
              <pt idx="23">
                <v>0.5 BFCTST-MFRC</v>
              </pt>
              <pt idx="24">
                <v>0.5 BFIVST-MFRC</v>
              </pt>
              <pt idx="25">
                <v>0.5 BFECST-MFRC</v>
              </pt>
              <pt idx="26">
                <v>0.5 BFCOST-MFST</v>
              </pt>
              <pt idx="27">
                <v>0.5 BFCTST-MFST</v>
              </pt>
              <pt idx="28">
                <v>0.5 BFIVST-MFST</v>
              </pt>
              <pt idx="29">
                <v>0.5 BFECST-MFST</v>
              </pt>
              <pt idx="30">
                <v>0.5 BFCTST-BFCOST</v>
              </pt>
              <pt idx="31">
                <v>0.5 BFIVST-BFCOST</v>
              </pt>
              <pt idx="32">
                <v>0.5 BFECST-BFCOST</v>
              </pt>
              <pt idx="33">
                <v>0.5 BFIVST-BFCTST</v>
              </pt>
              <pt idx="34">
                <v>0.5 BFECST-BFCTST</v>
              </pt>
              <pt idx="35">
                <v>0.5 BFIVST-BFECST</v>
              </pt>
            </strLit>
          </cat>
          <val>
            <numLit>
              <formatCode>General</formatCode>
              <ptCount val="36"/>
              <pt idx="0">
                <v>41</v>
              </pt>
              <pt idx="1">
                <v>36</v>
              </pt>
              <pt idx="2">
                <v>50</v>
              </pt>
              <pt idx="3">
                <v>52</v>
              </pt>
              <pt idx="4">
                <v>87</v>
              </pt>
              <pt idx="5">
                <v>97</v>
              </pt>
              <pt idx="6">
                <v>41</v>
              </pt>
              <pt idx="7">
                <v>41</v>
              </pt>
              <pt idx="8">
                <v>36</v>
              </pt>
              <pt idx="9">
                <v>39</v>
              </pt>
              <pt idx="10">
                <v>39</v>
              </pt>
              <pt idx="11">
                <v>32</v>
              </pt>
              <pt idx="12">
                <v>32</v>
              </pt>
              <pt idx="13">
                <v>33</v>
              </pt>
              <pt idx="14">
                <v>33</v>
              </pt>
              <pt idx="15">
                <v>50</v>
              </pt>
              <pt idx="16">
                <v>51</v>
              </pt>
              <pt idx="17">
                <v>51</v>
              </pt>
              <pt idx="18">
                <v>52</v>
              </pt>
              <pt idx="19">
                <v>53</v>
              </pt>
              <pt idx="20">
                <v>97</v>
              </pt>
              <pt idx="21">
                <v>38</v>
              </pt>
              <pt idx="22">
                <v>54</v>
              </pt>
              <pt idx="23">
                <v>55</v>
              </pt>
              <pt idx="24">
                <v>88</v>
              </pt>
              <pt idx="25">
                <v>97</v>
              </pt>
              <pt idx="26">
                <v>50</v>
              </pt>
              <pt idx="27">
                <v>51</v>
              </pt>
              <pt idx="28">
                <v>85</v>
              </pt>
              <pt idx="29">
                <v>95</v>
              </pt>
              <pt idx="30">
                <v>52</v>
              </pt>
              <pt idx="31">
                <v>85</v>
              </pt>
              <pt idx="32">
                <v>95</v>
              </pt>
              <pt idx="33">
                <v>86</v>
              </pt>
              <pt idx="34">
                <v>96</v>
              </pt>
              <pt idx="35">
                <v>87</v>
              </pt>
            </numLit>
          </val>
          <smooth val="0"/>
        </ser>
        <ser>
          <idx val="7"/>
          <order val="7"/>
          <tx>
            <v>Braced (S)x</v>
          </tx>
          <spPr>
            <a:ln w="25400" cap="rnd">
              <a:noFill/>
              <a:prstDash val="solid"/>
              <a:round/>
            </a:ln>
          </spPr>
          <marker>
            <symbol val="dot"/>
            <size val="6"/>
            <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prstDash val="solid"/>
                <a:round/>
              </a:ln>
            </spPr>
          </marker>
          <cat>
            <strLit>
              <ptCount val="36"/>
              <pt idx="0">
                <v>0.5 MFRC-MFRC</v>
              </pt>
              <pt idx="1">
                <v>0.5 MFST-MFST</v>
              </pt>
              <pt idx="2">
                <v>0.5 BFCOST-BFCOST</v>
              </pt>
              <pt idx="3">
                <v>0.5 BFCTST-BFCTST</v>
              </pt>
              <pt idx="4">
                <v>0.5 BFIVST-BFIVST</v>
              </pt>
              <pt idx="5">
                <v>0.5 BFECST-BFECST</v>
              </pt>
              <pt idx="6">
                <v>0.5 MFRC-MFST</v>
              </pt>
              <pt idx="7">
                <v>0.5 MFRC-BFCOST</v>
              </pt>
              <pt idx="8">
                <v>0.5 MFRC-BFCTST</v>
              </pt>
              <pt idx="9">
                <v>0.5 MFRC-BFIVST</v>
              </pt>
              <pt idx="10">
                <v>0.5 MFRC-BFECST</v>
              </pt>
              <pt idx="11">
                <v>0.5 MFST-BFCOST</v>
              </pt>
              <pt idx="12">
                <v>0.5 MFST-BFCTST</v>
              </pt>
              <pt idx="13">
                <v>0.5 MFST-BFIVST</v>
              </pt>
              <pt idx="14">
                <v>0.5 MFST-BFECST</v>
              </pt>
              <pt idx="15">
                <v>0.5 BFCOST-BFCTST</v>
              </pt>
              <pt idx="16">
                <v>0.5 BFCOST-BFIVST</v>
              </pt>
              <pt idx="17">
                <v>0.5 BFCOST-BFECST</v>
              </pt>
              <pt idx="18">
                <v>0.5 BFCTST-BFIVST</v>
              </pt>
              <pt idx="19">
                <v>0.5 BFCTST-BFECST</v>
              </pt>
              <pt idx="20">
                <v>0.5 BFECST-BFIVST</v>
              </pt>
              <pt idx="21">
                <v>0.5 MFST-MFRC</v>
              </pt>
              <pt idx="22">
                <v>0.5 BFCOST-MFRC</v>
              </pt>
              <pt idx="23">
                <v>0.5 BFCTST-MFRC</v>
              </pt>
              <pt idx="24">
                <v>0.5 BFIVST-MFRC</v>
              </pt>
              <pt idx="25">
                <v>0.5 BFECST-MFRC</v>
              </pt>
              <pt idx="26">
                <v>0.5 BFCOST-MFST</v>
              </pt>
              <pt idx="27">
                <v>0.5 BFCTST-MFST</v>
              </pt>
              <pt idx="28">
                <v>0.5 BFIVST-MFST</v>
              </pt>
              <pt idx="29">
                <v>0.5 BFECST-MFST</v>
              </pt>
              <pt idx="30">
                <v>0.5 BFCTST-BFCOST</v>
              </pt>
              <pt idx="31">
                <v>0.5 BFIVST-BFCOST</v>
              </pt>
              <pt idx="32">
                <v>0.5 BFECST-BFCOST</v>
              </pt>
              <pt idx="33">
                <v>0.5 BFIVST-BFCTST</v>
              </pt>
              <pt idx="34">
                <v>0.5 BFECST-BFCTST</v>
              </pt>
              <pt idx="35">
                <v>0.5 BFIVST-BFECST</v>
              </pt>
            </strLit>
          </cat>
          <val>
            <numLit>
              <formatCode>General</formatCode>
              <ptCount val="36"/>
              <pt idx="2">
                <v>11</v>
              </pt>
              <pt idx="3">
                <v>17</v>
              </pt>
              <pt idx="4">
                <v>20</v>
              </pt>
              <pt idx="5">
                <v>22</v>
              </pt>
              <pt idx="15">
                <v>11</v>
              </pt>
              <pt idx="16">
                <v>11</v>
              </pt>
              <pt idx="17">
                <v>11</v>
              </pt>
              <pt idx="18">
                <v>17</v>
              </pt>
              <pt idx="19">
                <v>18</v>
              </pt>
              <pt idx="20">
                <v>22</v>
              </pt>
              <pt idx="22">
                <v>12</v>
              </pt>
              <pt idx="23">
                <v>19</v>
              </pt>
              <pt idx="24">
                <v>14</v>
              </pt>
              <pt idx="25">
                <v>15</v>
              </pt>
              <pt idx="26">
                <v>11</v>
              </pt>
              <pt idx="27">
                <v>17</v>
              </pt>
              <pt idx="28">
                <v>19</v>
              </pt>
              <pt idx="29">
                <v>21</v>
              </pt>
              <pt idx="30">
                <v>17</v>
              </pt>
              <pt idx="31">
                <v>19</v>
              </pt>
              <pt idx="32">
                <v>21</v>
              </pt>
              <pt idx="33">
                <v>20</v>
              </pt>
              <pt idx="34">
                <v>22</v>
              </pt>
              <pt idx="35">
                <v>20</v>
              </pt>
            </numLit>
          </val>
          <smooth val="0"/>
        </ser>
        <ser>
          <idx val="8"/>
          <order val="8"/>
          <tx>
            <v>Shear (U)y</v>
          </tx>
          <spPr>
            <a:ln w="25400" cap="rnd">
              <a:noFill/>
              <a:prstDash val="solid"/>
              <a:round/>
            </a:ln>
          </spPr>
          <marker>
            <symbol val="dash"/>
            <size val="6"/>
            <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prstDash val="solid"/>
                <a:round/>
              </a:ln>
            </spPr>
          </marker>
          <cat>
            <strLit>
              <ptCount val="36"/>
              <pt idx="0">
                <v>0.5 MFRC-MFRC</v>
              </pt>
              <pt idx="1">
                <v>0.5 MFST-MFST</v>
              </pt>
              <pt idx="2">
                <v>0.5 BFCOST-BFCOST</v>
              </pt>
              <pt idx="3">
                <v>0.5 BFCTST-BFCTST</v>
              </pt>
              <pt idx="4">
                <v>0.5 BFIVST-BFIVST</v>
              </pt>
              <pt idx="5">
                <v>0.5 BFECST-BFECST</v>
              </pt>
              <pt idx="6">
                <v>0.5 MFRC-MFST</v>
              </pt>
              <pt idx="7">
                <v>0.5 MFRC-BFCOST</v>
              </pt>
              <pt idx="8">
                <v>0.5 MFRC-BFCTST</v>
              </pt>
              <pt idx="9">
                <v>0.5 MFRC-BFIVST</v>
              </pt>
              <pt idx="10">
                <v>0.5 MFRC-BFECST</v>
              </pt>
              <pt idx="11">
                <v>0.5 MFST-BFCOST</v>
              </pt>
              <pt idx="12">
                <v>0.5 MFST-BFCTST</v>
              </pt>
              <pt idx="13">
                <v>0.5 MFST-BFIVST</v>
              </pt>
              <pt idx="14">
                <v>0.5 MFST-BFECST</v>
              </pt>
              <pt idx="15">
                <v>0.5 BFCOST-BFCTST</v>
              </pt>
              <pt idx="16">
                <v>0.5 BFCOST-BFIVST</v>
              </pt>
              <pt idx="17">
                <v>0.5 BFCOST-BFECST</v>
              </pt>
              <pt idx="18">
                <v>0.5 BFCTST-BFIVST</v>
              </pt>
              <pt idx="19">
                <v>0.5 BFCTST-BFECST</v>
              </pt>
              <pt idx="20">
                <v>0.5 BFECST-BFIVST</v>
              </pt>
              <pt idx="21">
                <v>0.5 MFST-MFRC</v>
              </pt>
              <pt idx="22">
                <v>0.5 BFCOST-MFRC</v>
              </pt>
              <pt idx="23">
                <v>0.5 BFCTST-MFRC</v>
              </pt>
              <pt idx="24">
                <v>0.5 BFIVST-MFRC</v>
              </pt>
              <pt idx="25">
                <v>0.5 BFECST-MFRC</v>
              </pt>
              <pt idx="26">
                <v>0.5 BFCOST-MFST</v>
              </pt>
              <pt idx="27">
                <v>0.5 BFCTST-MFST</v>
              </pt>
              <pt idx="28">
                <v>0.5 BFIVST-MFST</v>
              </pt>
              <pt idx="29">
                <v>0.5 BFECST-MFST</v>
              </pt>
              <pt idx="30">
                <v>0.5 BFCTST-BFCOST</v>
              </pt>
              <pt idx="31">
                <v>0.5 BFIVST-BFCOST</v>
              </pt>
              <pt idx="32">
                <v>0.5 BFECST-BFCOST</v>
              </pt>
              <pt idx="33">
                <v>0.5 BFIVST-BFCTST</v>
              </pt>
              <pt idx="34">
                <v>0.5 BFECST-BFCTST</v>
              </pt>
              <pt idx="35">
                <v>0.5 BFIVST-BFECST</v>
              </pt>
            </strLit>
          </cat>
          <val>
            <numLit>
              <formatCode>General</formatCode>
              <ptCount val="36"/>
              <pt idx="0">
                <v>72</v>
              </pt>
              <pt idx="1">
                <v>77</v>
              </pt>
              <pt idx="6">
                <v>62</v>
              </pt>
              <pt idx="21">
                <v>70</v>
              </pt>
              <pt idx="22">
                <v>70</v>
              </pt>
              <pt idx="23">
                <v>70</v>
              </pt>
              <pt idx="24">
                <v>71</v>
              </pt>
              <pt idx="25">
                <v>71</v>
              </pt>
              <pt idx="26">
                <v>57</v>
              </pt>
              <pt idx="27">
                <v>58</v>
              </pt>
              <pt idx="28">
                <v>58</v>
              </pt>
              <pt idx="29">
                <v>58</v>
              </pt>
            </numLit>
          </val>
          <smooth val="0"/>
        </ser>
        <ser>
          <idx val="9"/>
          <order val="9"/>
          <tx>
            <v>Moment (U)y</v>
          </tx>
          <spPr>
            <a:ln w="25400" cap="rnd">
              <a:noFill/>
              <a:prstDash val="solid"/>
              <a:round/>
            </a:ln>
          </spPr>
          <marker>
            <symbol val="diamond"/>
            <size val="6"/>
            <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prstDash val="solid"/>
                <a:round/>
              </a:ln>
            </spPr>
          </marker>
          <cat>
            <strLit>
              <ptCount val="36"/>
              <pt idx="0">
                <v>0.5 MFRC-MFRC</v>
              </pt>
              <pt idx="1">
                <v>0.5 MFST-MFST</v>
              </pt>
              <pt idx="2">
                <v>0.5 BFCOST-BFCOST</v>
              </pt>
              <pt idx="3">
                <v>0.5 BFCTST-BFCTST</v>
              </pt>
              <pt idx="4">
                <v>0.5 BFIVST-BFIVST</v>
              </pt>
              <pt idx="5">
                <v>0.5 BFECST-BFECST</v>
              </pt>
              <pt idx="6">
                <v>0.5 MFRC-MFST</v>
              </pt>
              <pt idx="7">
                <v>0.5 MFRC-BFCOST</v>
              </pt>
              <pt idx="8">
                <v>0.5 MFRC-BFCTST</v>
              </pt>
              <pt idx="9">
                <v>0.5 MFRC-BFIVST</v>
              </pt>
              <pt idx="10">
                <v>0.5 MFRC-BFECST</v>
              </pt>
              <pt idx="11">
                <v>0.5 MFST-BFCOST</v>
              </pt>
              <pt idx="12">
                <v>0.5 MFST-BFCTST</v>
              </pt>
              <pt idx="13">
                <v>0.5 MFST-BFIVST</v>
              </pt>
              <pt idx="14">
                <v>0.5 MFST-BFECST</v>
              </pt>
              <pt idx="15">
                <v>0.5 BFCOST-BFCTST</v>
              </pt>
              <pt idx="16">
                <v>0.5 BFCOST-BFIVST</v>
              </pt>
              <pt idx="17">
                <v>0.5 BFCOST-BFECST</v>
              </pt>
              <pt idx="18">
                <v>0.5 BFCTST-BFIVST</v>
              </pt>
              <pt idx="19">
                <v>0.5 BFCTST-BFECST</v>
              </pt>
              <pt idx="20">
                <v>0.5 BFECST-BFIVST</v>
              </pt>
              <pt idx="21">
                <v>0.5 MFST-MFRC</v>
              </pt>
              <pt idx="22">
                <v>0.5 BFCOST-MFRC</v>
              </pt>
              <pt idx="23">
                <v>0.5 BFCTST-MFRC</v>
              </pt>
              <pt idx="24">
                <v>0.5 BFIVST-MFRC</v>
              </pt>
              <pt idx="25">
                <v>0.5 BFECST-MFRC</v>
              </pt>
              <pt idx="26">
                <v>0.5 BFCOST-MFST</v>
              </pt>
              <pt idx="27">
                <v>0.5 BFCTST-MFST</v>
              </pt>
              <pt idx="28">
                <v>0.5 BFIVST-MFST</v>
              </pt>
              <pt idx="29">
                <v>0.5 BFECST-MFST</v>
              </pt>
              <pt idx="30">
                <v>0.5 BFCTST-BFCOST</v>
              </pt>
              <pt idx="31">
                <v>0.5 BFIVST-BFCOST</v>
              </pt>
              <pt idx="32">
                <v>0.5 BFECST-BFCOST</v>
              </pt>
              <pt idx="33">
                <v>0.5 BFIVST-BFCTST</v>
              </pt>
              <pt idx="34">
                <v>0.5 BFECST-BFCTST</v>
              </pt>
              <pt idx="35">
                <v>0.5 BFIVST-BFECST</v>
              </pt>
            </strLit>
          </cat>
          <val>
            <numLit>
              <formatCode>General</formatCode>
              <ptCount val="36"/>
              <pt idx="0">
                <v>96</v>
              </pt>
              <pt idx="1">
                <v>55</v>
              </pt>
              <pt idx="6">
                <v>79</v>
              </pt>
              <pt idx="21">
                <v>93</v>
              </pt>
              <pt idx="22">
                <v>93</v>
              </pt>
              <pt idx="23">
                <v>94</v>
              </pt>
              <pt idx="24">
                <v>95</v>
              </pt>
              <pt idx="25">
                <v>96</v>
              </pt>
              <pt idx="26">
                <v>73</v>
              </pt>
              <pt idx="27">
                <v>74</v>
              </pt>
              <pt idx="28">
                <v>74</v>
              </pt>
              <pt idx="29">
                <v>74</v>
              </pt>
            </numLit>
          </val>
          <smooth val="0"/>
        </ser>
        <ser>
          <idx val="10"/>
          <order val="10"/>
          <tx>
            <v>Drift (U)y</v>
          </tx>
          <spPr>
            <a:ln w="25400" cap="rnd">
              <a:noFill/>
              <a:prstDash val="solid"/>
              <a:round/>
            </a:ln>
          </spPr>
          <marker>
            <symbol val="square"/>
            <size val="6"/>
            <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  <a:prstDash val="solid"/>
                <a:round/>
              </a:ln>
            </spPr>
          </marker>
          <cat>
            <strLit>
              <ptCount val="36"/>
              <pt idx="0">
                <v>0.5 MFRC-MFRC</v>
              </pt>
              <pt idx="1">
                <v>0.5 MFST-MFST</v>
              </pt>
              <pt idx="2">
                <v>0.5 BFCOST-BFCOST</v>
              </pt>
              <pt idx="3">
                <v>0.5 BFCTST-BFCTST</v>
              </pt>
              <pt idx="4">
                <v>0.5 BFIVST-BFIVST</v>
              </pt>
              <pt idx="5">
                <v>0.5 BFECST-BFECST</v>
              </pt>
              <pt idx="6">
                <v>0.5 MFRC-MFST</v>
              </pt>
              <pt idx="7">
                <v>0.5 MFRC-BFCOST</v>
              </pt>
              <pt idx="8">
                <v>0.5 MFRC-BFCTST</v>
              </pt>
              <pt idx="9">
                <v>0.5 MFRC-BFIVST</v>
              </pt>
              <pt idx="10">
                <v>0.5 MFRC-BFECST</v>
              </pt>
              <pt idx="11">
                <v>0.5 MFST-BFCOST</v>
              </pt>
              <pt idx="12">
                <v>0.5 MFST-BFCTST</v>
              </pt>
              <pt idx="13">
                <v>0.5 MFST-BFIVST</v>
              </pt>
              <pt idx="14">
                <v>0.5 MFST-BFECST</v>
              </pt>
              <pt idx="15">
                <v>0.5 BFCOST-BFCTST</v>
              </pt>
              <pt idx="16">
                <v>0.5 BFCOST-BFIVST</v>
              </pt>
              <pt idx="17">
                <v>0.5 BFCOST-BFECST</v>
              </pt>
              <pt idx="18">
                <v>0.5 BFCTST-BFIVST</v>
              </pt>
              <pt idx="19">
                <v>0.5 BFCTST-BFECST</v>
              </pt>
              <pt idx="20">
                <v>0.5 BFECST-BFIVST</v>
              </pt>
              <pt idx="21">
                <v>0.5 MFST-MFRC</v>
              </pt>
              <pt idx="22">
                <v>0.5 BFCOST-MFRC</v>
              </pt>
              <pt idx="23">
                <v>0.5 BFCTST-MFRC</v>
              </pt>
              <pt idx="24">
                <v>0.5 BFIVST-MFRC</v>
              </pt>
              <pt idx="25">
                <v>0.5 BFECST-MFRC</v>
              </pt>
              <pt idx="26">
                <v>0.5 BFCOST-MFST</v>
              </pt>
              <pt idx="27">
                <v>0.5 BFCTST-MFST</v>
              </pt>
              <pt idx="28">
                <v>0.5 BFIVST-MFST</v>
              </pt>
              <pt idx="29">
                <v>0.5 BFECST-MFST</v>
              </pt>
              <pt idx="30">
                <v>0.5 BFCTST-BFCOST</v>
              </pt>
              <pt idx="31">
                <v>0.5 BFIVST-BFCOST</v>
              </pt>
              <pt idx="32">
                <v>0.5 BFECST-BFCOST</v>
              </pt>
              <pt idx="33">
                <v>0.5 BFIVST-BFCTST</v>
              </pt>
              <pt idx="34">
                <v>0.5 BFECST-BFCTST</v>
              </pt>
              <pt idx="35">
                <v>0.5 BFIVST-BFECST</v>
              </pt>
            </strLit>
          </cat>
          <val>
            <numLit>
              <formatCode>General</formatCode>
              <ptCount val="36"/>
              <pt idx="0">
                <v>65</v>
              </pt>
              <pt idx="1">
                <v>29</v>
              </pt>
              <pt idx="2">
                <v>44</v>
              </pt>
              <pt idx="3">
                <v>44</v>
              </pt>
              <pt idx="4">
                <v>70</v>
              </pt>
              <pt idx="5">
                <v>88</v>
              </pt>
              <pt idx="6">
                <v>28</v>
              </pt>
              <pt idx="7">
                <v>47</v>
              </pt>
              <pt idx="8">
                <v>51</v>
              </pt>
              <pt idx="9">
                <v>74</v>
              </pt>
              <pt idx="10">
                <v>88</v>
              </pt>
              <pt idx="11">
                <v>44</v>
              </pt>
              <pt idx="12">
                <v>44</v>
              </pt>
              <pt idx="13">
                <v>72</v>
              </pt>
              <pt idx="14">
                <v>86</v>
              </pt>
              <pt idx="15">
                <v>44</v>
              </pt>
              <pt idx="16">
                <v>73</v>
              </pt>
              <pt idx="17">
                <v>87</v>
              </pt>
              <pt idx="18">
                <v>73</v>
              </pt>
              <pt idx="19">
                <v>86</v>
              </pt>
              <pt idx="20">
                <v>70</v>
              </pt>
              <pt idx="21">
                <v>66</v>
              </pt>
              <pt idx="22">
                <v>66</v>
              </pt>
              <pt idx="23">
                <v>66</v>
              </pt>
              <pt idx="24">
                <v>67</v>
              </pt>
              <pt idx="25">
                <v>67</v>
              </pt>
              <pt idx="26">
                <v>26</v>
              </pt>
              <pt idx="27">
                <v>26</v>
              </pt>
              <pt idx="28">
                <v>26</v>
              </pt>
              <pt idx="29">
                <v>26</v>
              </pt>
              <pt idx="30">
                <v>45</v>
              </pt>
              <pt idx="31">
                <v>45</v>
              </pt>
              <pt idx="32">
                <v>45</v>
              </pt>
              <pt idx="33">
                <v>45</v>
              </pt>
              <pt idx="34">
                <v>45</v>
              </pt>
              <pt idx="35">
                <v>88</v>
              </pt>
            </numLit>
          </val>
          <smooth val="0"/>
        </ser>
        <ser>
          <idx val="11"/>
          <order val="11"/>
          <tx>
            <v>Braced (U)y</v>
          </tx>
          <spPr>
            <a:ln w="25400" cap="rnd">
              <a:noFill/>
              <a:prstDash val="solid"/>
              <a:round/>
            </a:ln>
          </spPr>
          <marker>
            <symbol val="triangle"/>
            <size val="6"/>
            <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  <a:prstDash val="solid"/>
                <a:round/>
              </a:ln>
            </spPr>
          </marker>
          <cat>
            <strLit>
              <ptCount val="36"/>
              <pt idx="0">
                <v>0.5 MFRC-MFRC</v>
              </pt>
              <pt idx="1">
                <v>0.5 MFST-MFST</v>
              </pt>
              <pt idx="2">
                <v>0.5 BFCOST-BFCOST</v>
              </pt>
              <pt idx="3">
                <v>0.5 BFCTST-BFCTST</v>
              </pt>
              <pt idx="4">
                <v>0.5 BFIVST-BFIVST</v>
              </pt>
              <pt idx="5">
                <v>0.5 BFECST-BFECST</v>
              </pt>
              <pt idx="6">
                <v>0.5 MFRC-MFST</v>
              </pt>
              <pt idx="7">
                <v>0.5 MFRC-BFCOST</v>
              </pt>
              <pt idx="8">
                <v>0.5 MFRC-BFCTST</v>
              </pt>
              <pt idx="9">
                <v>0.5 MFRC-BFIVST</v>
              </pt>
              <pt idx="10">
                <v>0.5 MFRC-BFECST</v>
              </pt>
              <pt idx="11">
                <v>0.5 MFST-BFCOST</v>
              </pt>
              <pt idx="12">
                <v>0.5 MFST-BFCTST</v>
              </pt>
              <pt idx="13">
                <v>0.5 MFST-BFIVST</v>
              </pt>
              <pt idx="14">
                <v>0.5 MFST-BFECST</v>
              </pt>
              <pt idx="15">
                <v>0.5 BFCOST-BFCTST</v>
              </pt>
              <pt idx="16">
                <v>0.5 BFCOST-BFIVST</v>
              </pt>
              <pt idx="17">
                <v>0.5 BFCOST-BFECST</v>
              </pt>
              <pt idx="18">
                <v>0.5 BFCTST-BFIVST</v>
              </pt>
              <pt idx="19">
                <v>0.5 BFCTST-BFECST</v>
              </pt>
              <pt idx="20">
                <v>0.5 BFECST-BFIVST</v>
              </pt>
              <pt idx="21">
                <v>0.5 MFST-MFRC</v>
              </pt>
              <pt idx="22">
                <v>0.5 BFCOST-MFRC</v>
              </pt>
              <pt idx="23">
                <v>0.5 BFCTST-MFRC</v>
              </pt>
              <pt idx="24">
                <v>0.5 BFIVST-MFRC</v>
              </pt>
              <pt idx="25">
                <v>0.5 BFECST-MFRC</v>
              </pt>
              <pt idx="26">
                <v>0.5 BFCOST-MFST</v>
              </pt>
              <pt idx="27">
                <v>0.5 BFCTST-MFST</v>
              </pt>
              <pt idx="28">
                <v>0.5 BFIVST-MFST</v>
              </pt>
              <pt idx="29">
                <v>0.5 BFECST-MFST</v>
              </pt>
              <pt idx="30">
                <v>0.5 BFCTST-BFCOST</v>
              </pt>
              <pt idx="31">
                <v>0.5 BFIVST-BFCOST</v>
              </pt>
              <pt idx="32">
                <v>0.5 BFECST-BFCOST</v>
              </pt>
              <pt idx="33">
                <v>0.5 BFIVST-BFCTST</v>
              </pt>
              <pt idx="34">
                <v>0.5 BFECST-BFCTST</v>
              </pt>
              <pt idx="35">
                <v>0.5 BFIVST-BFECST</v>
              </pt>
            </strLit>
          </cat>
          <val>
            <numLit>
              <formatCode>General</formatCode>
              <ptCount val="36"/>
              <pt idx="2">
                <v>58</v>
              </pt>
              <pt idx="3">
                <v>89</v>
              </pt>
              <pt idx="4">
                <v>67</v>
              </pt>
              <pt idx="5">
                <v>45</v>
              </pt>
              <pt idx="7">
                <v>63</v>
              </pt>
              <pt idx="8">
                <v>99</v>
              </pt>
              <pt idx="9">
                <v>71</v>
              </pt>
              <pt idx="10">
                <v>32</v>
              </pt>
              <pt idx="11">
                <v>58</v>
              </pt>
              <pt idx="12">
                <v>88</v>
              </pt>
              <pt idx="13">
                <v>100</v>
              </pt>
              <pt idx="14">
                <v>44</v>
              </pt>
              <pt idx="15">
                <v>89</v>
              </pt>
              <pt idx="16">
                <v>100</v>
              </pt>
              <pt idx="17">
                <v>44</v>
              </pt>
              <pt idx="18">
                <v>101</v>
              </pt>
              <pt idx="19">
                <v>44</v>
              </pt>
              <pt idx="20">
                <v>67</v>
              </pt>
              <pt idx="30">
                <v>58</v>
              </pt>
              <pt idx="31">
                <v>59</v>
              </pt>
              <pt idx="32">
                <v>59</v>
              </pt>
              <pt idx="33">
                <v>90</v>
              </pt>
              <pt idx="34">
                <v>91</v>
              </pt>
              <pt idx="35">
                <v>45</v>
              </pt>
            </numLit>
          </val>
          <smooth val="0"/>
        </ser>
        <ser>
          <idx val="12"/>
          <order val="12"/>
          <tx>
            <v>Shear (S)y</v>
          </tx>
          <spPr>
            <a:ln w="25400" cap="rnd">
              <a:noFill/>
              <a:prstDash val="solid"/>
              <a:round/>
            </a:ln>
          </spPr>
          <marker>
            <symbol val="x"/>
            <size val="6"/>
            <spPr>
              <a:noFill/>
              <a:ln w="9525">
                <a:solidFill>
                  <a:schemeClr val="accent1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cat>
            <strLit>
              <ptCount val="36"/>
              <pt idx="0">
                <v>0.5 MFRC-MFRC</v>
              </pt>
              <pt idx="1">
                <v>0.5 MFST-MFST</v>
              </pt>
              <pt idx="2">
                <v>0.5 BFCOST-BFCOST</v>
              </pt>
              <pt idx="3">
                <v>0.5 BFCTST-BFCTST</v>
              </pt>
              <pt idx="4">
                <v>0.5 BFIVST-BFIVST</v>
              </pt>
              <pt idx="5">
                <v>0.5 BFECST-BFECST</v>
              </pt>
              <pt idx="6">
                <v>0.5 MFRC-MFST</v>
              </pt>
              <pt idx="7">
                <v>0.5 MFRC-BFCOST</v>
              </pt>
              <pt idx="8">
                <v>0.5 MFRC-BFCTST</v>
              </pt>
              <pt idx="9">
                <v>0.5 MFRC-BFIVST</v>
              </pt>
              <pt idx="10">
                <v>0.5 MFRC-BFECST</v>
              </pt>
              <pt idx="11">
                <v>0.5 MFST-BFCOST</v>
              </pt>
              <pt idx="12">
                <v>0.5 MFST-BFCTST</v>
              </pt>
              <pt idx="13">
                <v>0.5 MFST-BFIVST</v>
              </pt>
              <pt idx="14">
                <v>0.5 MFST-BFECST</v>
              </pt>
              <pt idx="15">
                <v>0.5 BFCOST-BFCTST</v>
              </pt>
              <pt idx="16">
                <v>0.5 BFCOST-BFIVST</v>
              </pt>
              <pt idx="17">
                <v>0.5 BFCOST-BFECST</v>
              </pt>
              <pt idx="18">
                <v>0.5 BFCTST-BFIVST</v>
              </pt>
              <pt idx="19">
                <v>0.5 BFCTST-BFECST</v>
              </pt>
              <pt idx="20">
                <v>0.5 BFECST-BFIVST</v>
              </pt>
              <pt idx="21">
                <v>0.5 MFST-MFRC</v>
              </pt>
              <pt idx="22">
                <v>0.5 BFCOST-MFRC</v>
              </pt>
              <pt idx="23">
                <v>0.5 BFCTST-MFRC</v>
              </pt>
              <pt idx="24">
                <v>0.5 BFIVST-MFRC</v>
              </pt>
              <pt idx="25">
                <v>0.5 BFECST-MFRC</v>
              </pt>
              <pt idx="26">
                <v>0.5 BFCOST-MFST</v>
              </pt>
              <pt idx="27">
                <v>0.5 BFCTST-MFST</v>
              </pt>
              <pt idx="28">
                <v>0.5 BFIVST-MFST</v>
              </pt>
              <pt idx="29">
                <v>0.5 BFECST-MFST</v>
              </pt>
              <pt idx="30">
                <v>0.5 BFCTST-BFCOST</v>
              </pt>
              <pt idx="31">
                <v>0.5 BFIVST-BFCOST</v>
              </pt>
              <pt idx="32">
                <v>0.5 BFECST-BFCOST</v>
              </pt>
              <pt idx="33">
                <v>0.5 BFIVST-BFCTST</v>
              </pt>
              <pt idx="34">
                <v>0.5 BFECST-BFCTST</v>
              </pt>
              <pt idx="35">
                <v>0.5 BFIVST-BFECST</v>
              </pt>
            </strLit>
          </cat>
          <val>
            <numLit>
              <formatCode>General</formatCode>
              <ptCount val="36"/>
              <pt idx="0">
                <v>28</v>
              </pt>
              <pt idx="1">
                <v>43</v>
              </pt>
              <pt idx="6">
                <v>35</v>
              </pt>
              <pt idx="21">
                <v>27</v>
              </pt>
              <pt idx="22">
                <v>27</v>
              </pt>
              <pt idx="23">
                <v>27</v>
              </pt>
              <pt idx="24">
                <v>27</v>
              </pt>
              <pt idx="25">
                <v>27</v>
              </pt>
              <pt idx="26">
                <v>33</v>
              </pt>
              <pt idx="27">
                <v>33</v>
              </pt>
              <pt idx="28">
                <v>33</v>
              </pt>
              <pt idx="29">
                <v>33</v>
              </pt>
            </numLit>
          </val>
          <smooth val="0"/>
        </ser>
        <ser>
          <idx val="13"/>
          <order val="13"/>
          <tx>
            <v>Moment (S)y</v>
          </tx>
          <spPr>
            <a:ln w="25400" cap="rnd">
              <a:noFill/>
              <a:prstDash val="solid"/>
              <a:round/>
            </a:ln>
          </spPr>
          <marker>
            <symbol val="star"/>
            <size val="6"/>
            <spPr>
              <a:noFill/>
              <a:ln w="9525">
                <a:solidFill>
                  <a:schemeClr val="accent2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cat>
            <strLit>
              <ptCount val="36"/>
              <pt idx="0">
                <v>0.5 MFRC-MFRC</v>
              </pt>
              <pt idx="1">
                <v>0.5 MFST-MFST</v>
              </pt>
              <pt idx="2">
                <v>0.5 BFCOST-BFCOST</v>
              </pt>
              <pt idx="3">
                <v>0.5 BFCTST-BFCTST</v>
              </pt>
              <pt idx="4">
                <v>0.5 BFIVST-BFIVST</v>
              </pt>
              <pt idx="5">
                <v>0.5 BFECST-BFECST</v>
              </pt>
              <pt idx="6">
                <v>0.5 MFRC-MFST</v>
              </pt>
              <pt idx="7">
                <v>0.5 MFRC-BFCOST</v>
              </pt>
              <pt idx="8">
                <v>0.5 MFRC-BFCTST</v>
              </pt>
              <pt idx="9">
                <v>0.5 MFRC-BFIVST</v>
              </pt>
              <pt idx="10">
                <v>0.5 MFRC-BFECST</v>
              </pt>
              <pt idx="11">
                <v>0.5 MFST-BFCOST</v>
              </pt>
              <pt idx="12">
                <v>0.5 MFST-BFCTST</v>
              </pt>
              <pt idx="13">
                <v>0.5 MFST-BFIVST</v>
              </pt>
              <pt idx="14">
                <v>0.5 MFST-BFECST</v>
              </pt>
              <pt idx="15">
                <v>0.5 BFCOST-BFCTST</v>
              </pt>
              <pt idx="16">
                <v>0.5 BFCOST-BFIVST</v>
              </pt>
              <pt idx="17">
                <v>0.5 BFCOST-BFECST</v>
              </pt>
              <pt idx="18">
                <v>0.5 BFCTST-BFIVST</v>
              </pt>
              <pt idx="19">
                <v>0.5 BFCTST-BFECST</v>
              </pt>
              <pt idx="20">
                <v>0.5 BFECST-BFIVST</v>
              </pt>
              <pt idx="21">
                <v>0.5 MFST-MFRC</v>
              </pt>
              <pt idx="22">
                <v>0.5 BFCOST-MFRC</v>
              </pt>
              <pt idx="23">
                <v>0.5 BFCTST-MFRC</v>
              </pt>
              <pt idx="24">
                <v>0.5 BFIVST-MFRC</v>
              </pt>
              <pt idx="25">
                <v>0.5 BFECST-MFRC</v>
              </pt>
              <pt idx="26">
                <v>0.5 BFCOST-MFST</v>
              </pt>
              <pt idx="27">
                <v>0.5 BFCTST-MFST</v>
              </pt>
              <pt idx="28">
                <v>0.5 BFIVST-MFST</v>
              </pt>
              <pt idx="29">
                <v>0.5 BFECST-MFST</v>
              </pt>
              <pt idx="30">
                <v>0.5 BFCTST-BFCOST</v>
              </pt>
              <pt idx="31">
                <v>0.5 BFIVST-BFCOST</v>
              </pt>
              <pt idx="32">
                <v>0.5 BFECST-BFCOST</v>
              </pt>
              <pt idx="33">
                <v>0.5 BFIVST-BFCTST</v>
              </pt>
              <pt idx="34">
                <v>0.5 BFECST-BFCTST</v>
              </pt>
              <pt idx="35">
                <v>0.5 BFIVST-BFECST</v>
              </pt>
            </strLit>
          </cat>
          <val>
            <numLit>
              <formatCode>General</formatCode>
              <ptCount val="36"/>
              <pt idx="0">
                <v>28</v>
              </pt>
              <pt idx="1">
                <v>27</v>
              </pt>
              <pt idx="6">
                <v>28</v>
              </pt>
              <pt idx="21">
                <v>27</v>
              </pt>
              <pt idx="22">
                <v>27</v>
              </pt>
              <pt idx="23">
                <v>27</v>
              </pt>
              <pt idx="24">
                <v>28</v>
              </pt>
              <pt idx="25">
                <v>28</v>
              </pt>
              <pt idx="26">
                <v>26</v>
              </pt>
              <pt idx="27">
                <v>26</v>
              </pt>
              <pt idx="28">
                <v>26</v>
              </pt>
              <pt idx="29">
                <v>26</v>
              </pt>
            </numLit>
          </val>
          <smooth val="0"/>
        </ser>
        <ser>
          <idx val="14"/>
          <order val="14"/>
          <tx>
            <v>Drift (S)y</v>
          </tx>
          <spPr>
            <a:ln w="25400" cap="rnd">
              <a:noFill/>
              <a:prstDash val="solid"/>
              <a:round/>
            </a:ln>
          </spPr>
          <marker>
            <symbol val="circle"/>
            <size val="6"/>
            <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cat>
            <strLit>
              <ptCount val="36"/>
              <pt idx="0">
                <v>0.5 MFRC-MFRC</v>
              </pt>
              <pt idx="1">
                <v>0.5 MFST-MFST</v>
              </pt>
              <pt idx="2">
                <v>0.5 BFCOST-BFCOST</v>
              </pt>
              <pt idx="3">
                <v>0.5 BFCTST-BFCTST</v>
              </pt>
              <pt idx="4">
                <v>0.5 BFIVST-BFIVST</v>
              </pt>
              <pt idx="5">
                <v>0.5 BFECST-BFECST</v>
              </pt>
              <pt idx="6">
                <v>0.5 MFRC-MFST</v>
              </pt>
              <pt idx="7">
                <v>0.5 MFRC-BFCOST</v>
              </pt>
              <pt idx="8">
                <v>0.5 MFRC-BFCTST</v>
              </pt>
              <pt idx="9">
                <v>0.5 MFRC-BFIVST</v>
              </pt>
              <pt idx="10">
                <v>0.5 MFRC-BFECST</v>
              </pt>
              <pt idx="11">
                <v>0.5 MFST-BFCOST</v>
              </pt>
              <pt idx="12">
                <v>0.5 MFST-BFCTST</v>
              </pt>
              <pt idx="13">
                <v>0.5 MFST-BFIVST</v>
              </pt>
              <pt idx="14">
                <v>0.5 MFST-BFECST</v>
              </pt>
              <pt idx="15">
                <v>0.5 BFCOST-BFCTST</v>
              </pt>
              <pt idx="16">
                <v>0.5 BFCOST-BFIVST</v>
              </pt>
              <pt idx="17">
                <v>0.5 BFCOST-BFECST</v>
              </pt>
              <pt idx="18">
                <v>0.5 BFCTST-BFIVST</v>
              </pt>
              <pt idx="19">
                <v>0.5 BFCTST-BFECST</v>
              </pt>
              <pt idx="20">
                <v>0.5 BFECST-BFIVST</v>
              </pt>
              <pt idx="21">
                <v>0.5 MFST-MFRC</v>
              </pt>
              <pt idx="22">
                <v>0.5 BFCOST-MFRC</v>
              </pt>
              <pt idx="23">
                <v>0.5 BFCTST-MFRC</v>
              </pt>
              <pt idx="24">
                <v>0.5 BFIVST-MFRC</v>
              </pt>
              <pt idx="25">
                <v>0.5 BFECST-MFRC</v>
              </pt>
              <pt idx="26">
                <v>0.5 BFCOST-MFST</v>
              </pt>
              <pt idx="27">
                <v>0.5 BFCTST-MFST</v>
              </pt>
              <pt idx="28">
                <v>0.5 BFIVST-MFST</v>
              </pt>
              <pt idx="29">
                <v>0.5 BFECST-MFST</v>
              </pt>
              <pt idx="30">
                <v>0.5 BFCTST-BFCOST</v>
              </pt>
              <pt idx="31">
                <v>0.5 BFIVST-BFCOST</v>
              </pt>
              <pt idx="32">
                <v>0.5 BFECST-BFCOST</v>
              </pt>
              <pt idx="33">
                <v>0.5 BFIVST-BFCTST</v>
              </pt>
              <pt idx="34">
                <v>0.5 BFECST-BFCTST</v>
              </pt>
              <pt idx="35">
                <v>0.5 BFIVST-BFECST</v>
              </pt>
            </strLit>
          </cat>
          <val>
            <numLit>
              <formatCode>General</formatCode>
              <ptCount val="36"/>
              <pt idx="0">
                <v>39</v>
              </pt>
              <pt idx="1">
                <v>37</v>
              </pt>
              <pt idx="2">
                <v>51</v>
              </pt>
              <pt idx="3">
                <v>53</v>
              </pt>
              <pt idx="4">
                <v>84</v>
              </pt>
              <pt idx="5">
                <v>100</v>
              </pt>
              <pt idx="6">
                <v>36</v>
              </pt>
              <pt idx="7">
                <v>55</v>
              </pt>
              <pt idx="8">
                <v>61</v>
              </pt>
              <pt idx="9">
                <v>89</v>
              </pt>
              <pt idx="10">
                <v>99</v>
              </pt>
              <pt idx="11">
                <v>51</v>
              </pt>
              <pt idx="12">
                <v>53</v>
              </pt>
              <pt idx="13">
                <v>87</v>
              </pt>
              <pt idx="14">
                <v>89</v>
              </pt>
              <pt idx="15">
                <v>53</v>
              </pt>
              <pt idx="16">
                <v>88</v>
              </pt>
              <pt idx="17">
                <v>98</v>
              </pt>
              <pt idx="18">
                <v>88</v>
              </pt>
              <pt idx="19">
                <v>98</v>
              </pt>
              <pt idx="20">
                <v>85</v>
              </pt>
              <pt idx="21">
                <v>39</v>
              </pt>
              <pt idx="22">
                <v>93</v>
              </pt>
              <pt idx="23">
                <v>39</v>
              </pt>
              <pt idx="24">
                <v>39</v>
              </pt>
              <pt idx="25">
                <v>40</v>
              </pt>
              <pt idx="26">
                <v>33</v>
              </pt>
              <pt idx="27">
                <v>33</v>
              </pt>
              <pt idx="28">
                <v>33</v>
              </pt>
              <pt idx="29">
                <v>34</v>
              </pt>
              <pt idx="30">
                <v>52</v>
              </pt>
              <pt idx="31">
                <v>52</v>
              </pt>
              <pt idx="32">
                <v>52</v>
              </pt>
              <pt idx="33">
                <v>54</v>
              </pt>
              <pt idx="34">
                <v>54</v>
              </pt>
              <pt idx="35">
                <v>99</v>
              </pt>
            </numLit>
          </val>
          <smooth val="0"/>
        </ser>
        <ser>
          <idx val="15"/>
          <order val="15"/>
          <tx>
            <v>Braced (S)y</v>
          </tx>
          <spPr>
            <a:ln w="25400" cap="rnd">
              <a:noFill/>
              <a:prstDash val="solid"/>
              <a:round/>
            </a:ln>
          </spPr>
          <marker>
            <symbol val="plus"/>
            <size val="6"/>
            <spPr>
              <a:noFill/>
              <a:ln w="9525">
                <a:solidFill>
                  <a:schemeClr val="accent4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cat>
            <strLit>
              <ptCount val="36"/>
              <pt idx="0">
                <v>0.5 MFRC-MFRC</v>
              </pt>
              <pt idx="1">
                <v>0.5 MFST-MFST</v>
              </pt>
              <pt idx="2">
                <v>0.5 BFCOST-BFCOST</v>
              </pt>
              <pt idx="3">
                <v>0.5 BFCTST-BFCTST</v>
              </pt>
              <pt idx="4">
                <v>0.5 BFIVST-BFIVST</v>
              </pt>
              <pt idx="5">
                <v>0.5 BFECST-BFECST</v>
              </pt>
              <pt idx="6">
                <v>0.5 MFRC-MFST</v>
              </pt>
              <pt idx="7">
                <v>0.5 MFRC-BFCOST</v>
              </pt>
              <pt idx="8">
                <v>0.5 MFRC-BFCTST</v>
              </pt>
              <pt idx="9">
                <v>0.5 MFRC-BFIVST</v>
              </pt>
              <pt idx="10">
                <v>0.5 MFRC-BFECST</v>
              </pt>
              <pt idx="11">
                <v>0.5 MFST-BFCOST</v>
              </pt>
              <pt idx="12">
                <v>0.5 MFST-BFCTST</v>
              </pt>
              <pt idx="13">
                <v>0.5 MFST-BFIVST</v>
              </pt>
              <pt idx="14">
                <v>0.5 MFST-BFECST</v>
              </pt>
              <pt idx="15">
                <v>0.5 BFCOST-BFCTST</v>
              </pt>
              <pt idx="16">
                <v>0.5 BFCOST-BFIVST</v>
              </pt>
              <pt idx="17">
                <v>0.5 BFCOST-BFECST</v>
              </pt>
              <pt idx="18">
                <v>0.5 BFCTST-BFIVST</v>
              </pt>
              <pt idx="19">
                <v>0.5 BFCTST-BFECST</v>
              </pt>
              <pt idx="20">
                <v>0.5 BFECST-BFIVST</v>
              </pt>
              <pt idx="21">
                <v>0.5 MFST-MFRC</v>
              </pt>
              <pt idx="22">
                <v>0.5 BFCOST-MFRC</v>
              </pt>
              <pt idx="23">
                <v>0.5 BFCTST-MFRC</v>
              </pt>
              <pt idx="24">
                <v>0.5 BFIVST-MFRC</v>
              </pt>
              <pt idx="25">
                <v>0.5 BFECST-MFRC</v>
              </pt>
              <pt idx="26">
                <v>0.5 BFCOST-MFST</v>
              </pt>
              <pt idx="27">
                <v>0.5 BFCTST-MFST</v>
              </pt>
              <pt idx="28">
                <v>0.5 BFIVST-MFST</v>
              </pt>
              <pt idx="29">
                <v>0.5 BFECST-MFST</v>
              </pt>
              <pt idx="30">
                <v>0.5 BFCTST-BFCOST</v>
              </pt>
              <pt idx="31">
                <v>0.5 BFIVST-BFCOST</v>
              </pt>
              <pt idx="32">
                <v>0.5 BFECST-BFCOST</v>
              </pt>
              <pt idx="33">
                <v>0.5 BFIVST-BFCTST</v>
              </pt>
              <pt idx="34">
                <v>0.5 BFECST-BFCTST</v>
              </pt>
              <pt idx="35">
                <v>0.5 BFIVST-BFECST</v>
              </pt>
            </strLit>
          </cat>
          <val>
            <numLit>
              <formatCode>General</formatCode>
              <ptCount val="36"/>
              <pt idx="2">
                <v>11</v>
              </pt>
              <pt idx="3">
                <v>18</v>
              </pt>
              <pt idx="4">
                <v>13</v>
              </pt>
              <pt idx="5">
                <v>23</v>
              </pt>
              <pt idx="7">
                <v>12</v>
              </pt>
              <pt idx="8">
                <v>20</v>
              </pt>
              <pt idx="9">
                <v>14</v>
              </pt>
              <pt idx="10">
                <v>16</v>
              </pt>
              <pt idx="11">
                <v>11</v>
              </pt>
              <pt idx="12">
                <v>18</v>
              </pt>
              <pt idx="13">
                <v>20</v>
              </pt>
              <pt idx="14">
                <v>22</v>
              </pt>
              <pt idx="15">
                <v>18</v>
              </pt>
              <pt idx="16">
                <v>20</v>
              </pt>
              <pt idx="17">
                <v>22</v>
              </pt>
              <pt idx="18">
                <v>20</v>
              </pt>
              <pt idx="19">
                <v>22</v>
              </pt>
              <pt idx="20">
                <v>14</v>
              </pt>
              <pt idx="30">
                <v>11</v>
              </pt>
              <pt idx="31">
                <v>11</v>
              </pt>
              <pt idx="32">
                <v>11</v>
              </pt>
              <pt idx="33">
                <v>18</v>
              </pt>
              <pt idx="34">
                <v>18</v>
              </pt>
              <pt idx="35">
                <v>22</v>
              </pt>
            </numLit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100302752"/>
        <axId val="1100298432"/>
      </lineChart>
      <catAx>
        <axId val="1100302752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800" b="0" i="0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100298432"/>
        <crosses val="autoZero"/>
        <auto val="1"/>
        <lblAlgn val="ctr"/>
        <lblOffset val="100"/>
        <noMultiLvlLbl val="0"/>
      </catAx>
      <valAx>
        <axId val="1100298432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100302752"/>
        <crosses val="autoZero"/>
        <crossBetween val="between"/>
      </valAx>
    </plotArea>
    <legend>
      <legendPos val="t"/>
      <layout>
        <manualLayout>
          <xMode val="edge"/>
          <yMode val="edge"/>
          <wMode val="factor"/>
          <hMode val="factor"/>
          <x val="0.007060395064992454"/>
          <y val="0.8980169061164144"/>
          <w val="0.973012744582779"/>
          <h val="0.08706007135281073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9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8028129290130717"/>
          <y val="0.02622824926666922"/>
          <w val="0.915158977107344"/>
          <h val="0.6953300009988597"/>
        </manualLayout>
      </layout>
      <lineChart>
        <grouping val="standard"/>
        <varyColors val="0"/>
        <ser>
          <idx val="0"/>
          <order val="0"/>
          <tx>
            <v>Shear (U)x</v>
          </tx>
          <spPr>
            <a:ln w="3175" cap="rnd">
              <a:solidFill>
                <a:srgbClr val="0070C0"/>
              </a:solidFill>
              <a:prstDash val="solid"/>
              <a:round/>
            </a:ln>
          </spPr>
          <marker>
            <symbol val="diamond"/>
            <size val="6"/>
            <spPr>
              <a:noFill/>
              <a:ln w="3175">
                <a:solidFill>
                  <a:srgbClr val="0070C0"/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0">
                <v>11</v>
              </pt>
              <pt idx="1">
                <v>11</v>
              </pt>
              <pt idx="2">
                <v>10</v>
              </pt>
              <pt idx="3">
                <v>11</v>
              </pt>
              <pt idx="4">
                <v>11</v>
              </pt>
              <pt idx="5">
                <v>11</v>
              </pt>
              <pt idx="6">
                <v>11</v>
              </pt>
              <pt idx="7">
                <v>99</v>
              </pt>
              <pt idx="8">
                <v>99</v>
              </pt>
            </numLit>
          </val>
          <smooth val="0"/>
        </ser>
        <ser>
          <idx val="1"/>
          <order val="1"/>
          <tx>
            <v>Moment (U)x</v>
          </tx>
          <spPr>
            <a:ln w="3175" cap="rnd">
              <a:solidFill>
                <a:schemeClr val="accent2"/>
              </a:solidFill>
              <a:prstDash val="solid"/>
              <a:round/>
            </a:ln>
          </spPr>
          <marker>
            <symbol val="square"/>
            <size val="6"/>
            <spPr>
              <a:noFill/>
              <a:ln w="3175">
                <a:solidFill>
                  <a:schemeClr val="accent2"/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0">
                <v>23</v>
              </pt>
              <pt idx="1">
                <v>23</v>
              </pt>
              <pt idx="2">
                <v>22</v>
              </pt>
              <pt idx="3">
                <v>22</v>
              </pt>
              <pt idx="4">
                <v>22</v>
              </pt>
              <pt idx="5">
                <v>22</v>
              </pt>
              <pt idx="6">
                <v>23</v>
              </pt>
              <pt idx="7">
                <v>34</v>
              </pt>
              <pt idx="8">
                <v>100</v>
              </pt>
            </numLit>
          </val>
          <smooth val="0"/>
        </ser>
        <ser>
          <idx val="2"/>
          <order val="2"/>
          <tx>
            <v>Drift (U)x</v>
          </tx>
          <spPr>
            <a:ln w="3175" cap="rnd">
              <a:solidFill>
                <a:schemeClr val="accent6">
                  <a:lumMod val="50000"/>
                </a:schemeClr>
              </a:solidFill>
              <a:prstDash val="solid"/>
              <a:round/>
            </a:ln>
          </spPr>
          <marker>
            <symbol val="triangle"/>
            <size val="6"/>
            <spPr>
              <a:noFill/>
              <a:ln w="3175">
                <a:solidFill>
                  <a:schemeClr val="accent6">
                    <a:lumMod val="50000"/>
                  </a:schemeClr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0">
                <v>99</v>
              </pt>
              <pt idx="1">
                <v>99</v>
              </pt>
              <pt idx="2">
                <v>97</v>
              </pt>
              <pt idx="3">
                <v>96</v>
              </pt>
              <pt idx="4">
                <v>95</v>
              </pt>
              <pt idx="5">
                <v>97</v>
              </pt>
              <pt idx="6">
                <v>100</v>
              </pt>
              <pt idx="7">
                <v>43</v>
              </pt>
              <pt idx="8">
                <v>43</v>
              </pt>
              <pt idx="9">
                <v>42</v>
              </pt>
              <pt idx="10">
                <v>43</v>
              </pt>
              <pt idx="11">
                <v>62</v>
              </pt>
              <pt idx="12">
                <v>75</v>
              </pt>
            </numLit>
          </val>
          <smooth val="0"/>
        </ser>
        <ser>
          <idx val="3"/>
          <order val="3"/>
          <tx>
            <v>Braced (U)x</v>
          </tx>
          <spPr>
            <a:ln w="3175" cap="rnd">
              <a:solidFill>
                <a:srgbClr val="00B0F0"/>
              </a:solidFill>
              <a:prstDash val="solid"/>
              <a:round/>
            </a:ln>
          </spPr>
          <marker>
            <symbol val="x"/>
            <size val="6"/>
            <spPr>
              <a:noFill/>
              <a:ln w="3175">
                <a:solidFill>
                  <a:srgbClr val="00B0F0"/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9">
                <v>92</v>
              </pt>
              <pt idx="10">
                <v>97</v>
              </pt>
              <pt idx="11">
                <v>85</v>
              </pt>
              <pt idx="12">
                <v>51</v>
              </pt>
            </numLit>
          </val>
          <smooth val="0"/>
        </ser>
        <ser>
          <idx val="4"/>
          <order val="4"/>
          <tx>
            <v>Shear (S)x</v>
          </tx>
          <spPr>
            <a:ln w="3175" cap="rnd">
              <a:solidFill>
                <a:schemeClr val="accent5"/>
              </a:solidFill>
              <a:prstDash val="solid"/>
              <a:round/>
            </a:ln>
          </spPr>
          <marker>
            <symbol val="star"/>
            <size val="6"/>
            <spPr>
              <a:noFill/>
              <a:ln w="3175">
                <a:solidFill>
                  <a:schemeClr val="accent5"/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0">
                <v>7</v>
              </pt>
              <pt idx="1">
                <v>7</v>
              </pt>
              <pt idx="2">
                <v>7</v>
              </pt>
              <pt idx="3">
                <v>7</v>
              </pt>
              <pt idx="4">
                <v>7</v>
              </pt>
              <pt idx="5">
                <v>7</v>
              </pt>
              <pt idx="6">
                <v>7</v>
              </pt>
              <pt idx="7">
                <v>29</v>
              </pt>
              <pt idx="8">
                <v>55</v>
              </pt>
            </numLit>
          </val>
          <smooth val="0"/>
        </ser>
        <ser>
          <idx val="5"/>
          <order val="5"/>
          <tx>
            <v>Moment (S)x</v>
          </tx>
          <spPr>
            <a:ln w="3175" cap="rnd">
              <a:solidFill>
                <a:schemeClr val="accent3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6"/>
            <spPr>
              <a:noFill/>
              <a:ln w="3175">
                <a:solidFill>
                  <a:schemeClr val="accent3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0">
                <v>21</v>
              </pt>
              <pt idx="1">
                <v>21</v>
              </pt>
              <pt idx="2">
                <v>20</v>
              </pt>
              <pt idx="3">
                <v>19</v>
              </pt>
              <pt idx="4">
                <v>19</v>
              </pt>
              <pt idx="5">
                <v>19</v>
              </pt>
              <pt idx="6">
                <v>20</v>
              </pt>
              <pt idx="7">
                <v>19</v>
              </pt>
              <pt idx="8">
                <v>47</v>
              </pt>
            </numLit>
          </val>
          <smooth val="0"/>
        </ser>
        <ser>
          <idx val="6"/>
          <order val="6"/>
          <tx>
            <v>Drift (S)x</v>
          </tx>
          <spPr>
            <a:ln w="3175" cap="rnd">
              <a:solidFill>
                <a:srgbClr val="002060"/>
              </a:solidFill>
              <a:prstDash val="solid"/>
              <a:round/>
            </a:ln>
          </spPr>
          <marker>
            <symbol val="plus"/>
            <size val="6"/>
            <spPr>
              <a:noFill/>
              <a:ln w="3175">
                <a:solidFill>
                  <a:srgbClr val="002060"/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0">
                <v>48</v>
              </pt>
              <pt idx="1">
                <v>49</v>
              </pt>
              <pt idx="2">
                <v>47</v>
              </pt>
              <pt idx="3">
                <v>46</v>
              </pt>
              <pt idx="4">
                <v>45</v>
              </pt>
              <pt idx="5">
                <v>46</v>
              </pt>
              <pt idx="6">
                <v>48</v>
              </pt>
              <pt idx="7">
                <v>31</v>
              </pt>
              <pt idx="8">
                <v>54</v>
              </pt>
              <pt idx="9">
                <v>51</v>
              </pt>
              <pt idx="10">
                <v>51</v>
              </pt>
              <pt idx="11">
                <v>75</v>
              </pt>
              <pt idx="12">
                <v>89</v>
              </pt>
            </numLit>
          </val>
          <smooth val="0"/>
        </ser>
        <ser>
          <idx val="7"/>
          <order val="7"/>
          <tx>
            <v>Braced (S)x</v>
          </tx>
          <spPr>
            <a:ln w="3175" cap="rnd">
              <a:solidFill>
                <a:schemeClr val="accent2">
                  <a:lumMod val="50000"/>
                </a:schemeClr>
              </a:solidFill>
              <a:prstDash val="solid"/>
              <a:round/>
            </a:ln>
          </spPr>
          <marker>
            <symbol val="dot"/>
            <size val="6"/>
            <spPr>
              <a:solidFill>
                <a:schemeClr val="accent2">
                  <a:lumMod val="60000"/>
                </a:schemeClr>
              </a:solidFill>
              <a:ln w="3175">
                <a:solidFill>
                  <a:schemeClr val="accent2">
                    <a:lumMod val="50000"/>
                  </a:schemeClr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9">
                <v>18</v>
              </pt>
              <pt idx="10">
                <v>19</v>
              </pt>
              <pt idx="11">
                <v>17</v>
              </pt>
              <pt idx="12">
                <v>27</v>
              </pt>
            </numLit>
          </val>
          <smooth val="0"/>
        </ser>
        <ser>
          <idx val="8"/>
          <order val="8"/>
          <tx>
            <v>Shear (U)y</v>
          </tx>
          <spPr>
            <a:ln w="3175" cap="rnd">
              <a:solidFill>
                <a:schemeClr val="tx1"/>
              </a:solidFill>
              <a:prstDash val="solid"/>
              <a:round/>
            </a:ln>
          </spPr>
          <marker>
            <symbol val="dash"/>
            <size val="6"/>
            <spPr>
              <a:solidFill>
                <a:schemeClr val="accent3">
                  <a:lumMod val="60000"/>
                </a:schemeClr>
              </a:solidFill>
              <a:ln w="3175">
                <a:solidFill>
                  <a:schemeClr val="accent3">
                    <a:lumMod val="60000"/>
                  </a:schemeClr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0">
                <v>12</v>
              </pt>
              <pt idx="1">
                <v>68</v>
              </pt>
              <pt idx="2">
                <v>51</v>
              </pt>
              <pt idx="7">
                <v>11</v>
              </pt>
              <pt idx="8">
                <v>11</v>
              </pt>
              <pt idx="9">
                <v>11</v>
              </pt>
              <pt idx="10">
                <v>11</v>
              </pt>
              <pt idx="11">
                <v>11</v>
              </pt>
              <pt idx="12">
                <v>11</v>
              </pt>
            </numLit>
          </val>
          <smooth val="0"/>
        </ser>
        <ser>
          <idx val="9"/>
          <order val="9"/>
          <tx>
            <v>Moment (U)y</v>
          </tx>
          <spPr>
            <a:ln w="3175" cap="rnd">
              <a:solidFill>
                <a:schemeClr val="accent1"/>
              </a:solidFill>
              <a:prstDash val="solid"/>
              <a:round/>
            </a:ln>
          </spPr>
          <marker>
            <symbol val="diamond"/>
            <size val="6"/>
            <spPr>
              <a:noFill/>
              <a:ln w="3175">
                <a:solidFill>
                  <a:schemeClr val="accent1"/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0">
                <v>23</v>
              </pt>
              <pt idx="1">
                <v>95</v>
              </pt>
              <pt idx="2">
                <v>65</v>
              </pt>
              <pt idx="7">
                <v>23</v>
              </pt>
              <pt idx="8">
                <v>23</v>
              </pt>
              <pt idx="9">
                <v>23</v>
              </pt>
              <pt idx="10">
                <v>23</v>
              </pt>
              <pt idx="11">
                <v>23</v>
              </pt>
              <pt idx="12">
                <v>23</v>
              </pt>
            </numLit>
          </val>
          <smooth val="0"/>
        </ser>
        <ser>
          <idx val="10"/>
          <order val="10"/>
          <tx>
            <v>Drift (U)y</v>
          </tx>
          <spPr>
            <a:ln w="3175" cap="rnd">
              <a:solidFill>
                <a:schemeClr val="accent5">
                  <a:lumMod val="75000"/>
                </a:schemeClr>
              </a:solidFill>
              <a:prstDash val="solid"/>
              <a:round/>
            </a:ln>
          </spPr>
          <marker>
            <symbol val="square"/>
            <size val="6"/>
            <spPr>
              <a:noFill/>
              <a:ln w="3175">
                <a:solidFill>
                  <a:schemeClr val="accent5">
                    <a:lumMod val="75000"/>
                  </a:schemeClr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0">
                <v>100</v>
              </pt>
              <pt idx="1">
                <v>73</v>
              </pt>
              <pt idx="2">
                <v>23</v>
              </pt>
              <pt idx="3">
                <v>43</v>
              </pt>
              <pt idx="4">
                <v>44</v>
              </pt>
              <pt idx="5">
                <v>64</v>
              </pt>
              <pt idx="6">
                <v>78</v>
              </pt>
              <pt idx="7">
                <v>100</v>
              </pt>
              <pt idx="8">
                <v>100</v>
              </pt>
              <pt idx="9">
                <v>100</v>
              </pt>
              <pt idx="10">
                <v>100</v>
              </pt>
              <pt idx="11">
                <v>99</v>
              </pt>
              <pt idx="12">
                <v>100</v>
              </pt>
            </numLit>
          </val>
          <smooth val="0"/>
        </ser>
        <ser>
          <idx val="11"/>
          <order val="11"/>
          <tx>
            <v>Braced (U)y</v>
          </tx>
          <spPr>
            <a:ln w="3175" cap="rnd">
              <a:solidFill>
                <a:schemeClr val="accent2">
                  <a:lumMod val="75000"/>
                </a:schemeClr>
              </a:solidFill>
              <a:prstDash val="solid"/>
              <a:round/>
            </a:ln>
          </spPr>
          <marker>
            <symbol val="triangle"/>
            <size val="6"/>
            <spPr>
              <a:noFill/>
              <a:ln w="3175">
                <a:solidFill>
                  <a:schemeClr val="accent2">
                    <a:lumMod val="75000"/>
                  </a:schemeClr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3">
                <v>95</v>
              </pt>
              <pt idx="4">
                <v>100</v>
              </pt>
              <pt idx="5">
                <v>88</v>
              </pt>
              <pt idx="6">
                <v>53</v>
              </pt>
            </numLit>
          </val>
          <smooth val="0"/>
        </ser>
        <ser>
          <idx val="12"/>
          <order val="12"/>
          <tx>
            <v>Shear (S)y</v>
          </tx>
          <spPr>
            <a:ln w="3175" cap="rnd">
              <a:solidFill>
                <a:schemeClr val="accent1">
                  <a:lumMod val="75000"/>
                </a:schemeClr>
              </a:solidFill>
              <a:prstDash val="solid"/>
              <a:round/>
            </a:ln>
          </spPr>
          <marker>
            <symbol val="x"/>
            <size val="6"/>
            <spPr>
              <a:noFill/>
              <a:ln w="3175">
                <a:solidFill>
                  <a:schemeClr val="accent1">
                    <a:lumMod val="75000"/>
                  </a:schemeClr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0">
                <v>7</v>
              </pt>
              <pt idx="1">
                <v>27</v>
              </pt>
              <pt idx="2">
                <v>29</v>
              </pt>
              <pt idx="7">
                <v>7</v>
              </pt>
              <pt idx="8">
                <v>7</v>
              </pt>
              <pt idx="9">
                <v>7</v>
              </pt>
              <pt idx="10">
                <v>7</v>
              </pt>
              <pt idx="11">
                <v>7</v>
              </pt>
              <pt idx="12">
                <v>7</v>
              </pt>
            </numLit>
          </val>
          <smooth val="0"/>
        </ser>
        <ser>
          <idx val="13"/>
          <order val="13"/>
          <tx>
            <v>Moment (S)y</v>
          </tx>
          <spPr>
            <a:ln w="3175" cap="rnd">
              <a:solidFill>
                <a:schemeClr val="accent2"/>
              </a:solidFill>
              <a:prstDash val="solid"/>
              <a:round/>
            </a:ln>
          </spPr>
          <marker>
            <symbol val="star"/>
            <size val="6"/>
            <spPr>
              <a:noFill/>
              <a:ln w="3175">
                <a:solidFill>
                  <a:schemeClr val="accent2"/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0">
                <v>21</v>
              </pt>
              <pt idx="1">
                <v>29</v>
              </pt>
              <pt idx="2">
                <v>23</v>
              </pt>
              <pt idx="7">
                <v>21</v>
              </pt>
              <pt idx="8">
                <v>20</v>
              </pt>
              <pt idx="9">
                <v>20</v>
              </pt>
              <pt idx="10">
                <v>20</v>
              </pt>
              <pt idx="11">
                <v>20</v>
              </pt>
              <pt idx="12">
                <v>20</v>
              </pt>
            </numLit>
          </val>
          <smooth val="0"/>
        </ser>
        <ser>
          <idx val="14"/>
          <order val="14"/>
          <tx>
            <v>Drift (S)y</v>
          </tx>
          <spPr>
            <a:ln w="3175" cap="rnd">
              <a:solidFill>
                <a:srgbClr val="002060"/>
              </a:solidFill>
              <a:prstDash val="solid"/>
              <a:round/>
            </a:ln>
          </spPr>
          <marker>
            <symbol val="circle"/>
            <size val="6"/>
            <spPr>
              <a:noFill/>
              <a:ln w="3175">
                <a:solidFill>
                  <a:srgbClr val="002060"/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0">
                <v>48</v>
              </pt>
              <pt idx="1">
                <v>43</v>
              </pt>
              <pt idx="2">
                <v>29</v>
              </pt>
              <pt idx="3">
                <v>52</v>
              </pt>
              <pt idx="4">
                <v>53</v>
              </pt>
              <pt idx="5">
                <v>77</v>
              </pt>
              <pt idx="6">
                <v>92</v>
              </pt>
              <pt idx="7">
                <v>49</v>
              </pt>
              <pt idx="8">
                <v>48</v>
              </pt>
              <pt idx="9">
                <v>48</v>
              </pt>
              <pt idx="10">
                <v>47</v>
              </pt>
              <pt idx="11">
                <v>47</v>
              </pt>
              <pt idx="12">
                <v>47</v>
              </pt>
            </numLit>
          </val>
          <smooth val="0"/>
        </ser>
        <ser>
          <idx val="15"/>
          <order val="15"/>
          <tx>
            <v>Braced (S)y</v>
          </tx>
          <spPr>
            <a:ln w="3175" cap="rnd">
              <a:solidFill>
                <a:schemeClr val="accent4"/>
              </a:solidFill>
              <a:prstDash val="solid"/>
              <a:round/>
            </a:ln>
          </spPr>
          <marker>
            <symbol val="plus"/>
            <size val="6"/>
            <spPr>
              <a:noFill/>
              <a:ln w="3175">
                <a:solidFill>
                  <a:schemeClr val="accent4"/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3">
                <v>19</v>
              </pt>
              <pt idx="4">
                <v>20</v>
              </pt>
              <pt idx="5">
                <v>18</v>
              </pt>
              <pt idx="6">
                <v>28</v>
              </pt>
            </numLit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100258112"/>
        <axId val="1100274432"/>
      </lineChart>
      <catAx>
        <axId val="1100258112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800" b="0" i="0" strike="noStrike" kern="1200" cap="all" spc="12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100274432"/>
        <crosses val="autoZero"/>
        <auto val="1"/>
        <lblAlgn val="ctr"/>
        <lblOffset val="100"/>
        <noMultiLvlLbl val="0"/>
      </catAx>
      <valAx>
        <axId val="1100274432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100258112"/>
        <crosses val="autoZero"/>
        <crossBetween val="between"/>
      </valAx>
    </plotArea>
    <legend>
      <legendPos val="t"/>
      <layout>
        <manualLayout>
          <xMode val="edge"/>
          <yMode val="edge"/>
          <wMode val="factor"/>
          <hMode val="factor"/>
          <x val="0.01898190457255797"/>
          <y val="0.9266159231512623"/>
          <w val="0.9735799970225717"/>
          <h val="0.07338411916866404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600" b="0" i="0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0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6487572158895615"/>
          <y val="0.02995043446591938"/>
          <w val="0.9160158680159404"/>
          <h val="0.7041736571747227"/>
        </manualLayout>
      </layout>
      <lineChart>
        <grouping val="standard"/>
        <varyColors val="0"/>
        <ser>
          <idx val="0"/>
          <order val="0"/>
          <tx>
            <v>Shear (U)x</v>
          </tx>
          <spPr>
            <a:ln w="254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0">
                <v>14</v>
              </pt>
              <pt idx="1">
                <v>14</v>
              </pt>
              <pt idx="2">
                <v>13</v>
              </pt>
              <pt idx="3">
                <v>13</v>
              </pt>
              <pt idx="4">
                <v>13</v>
              </pt>
              <pt idx="5">
                <v>13</v>
              </pt>
              <pt idx="6">
                <v>11</v>
              </pt>
              <pt idx="7">
                <v>102</v>
              </pt>
              <pt idx="8">
                <v>97</v>
              </pt>
            </numLit>
          </val>
          <smooth val="0"/>
        </ser>
        <ser>
          <idx val="1"/>
          <order val="1"/>
          <tx>
            <v>Moment (U)x</v>
          </tx>
          <spPr>
            <a:ln w="254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0">
                <v>26</v>
              </pt>
              <pt idx="1">
                <v>25</v>
              </pt>
              <pt idx="2">
                <v>25</v>
              </pt>
              <pt idx="3">
                <v>24</v>
              </pt>
              <pt idx="4">
                <v>24</v>
              </pt>
              <pt idx="5">
                <v>24</v>
              </pt>
              <pt idx="6">
                <v>23</v>
              </pt>
              <pt idx="7">
                <v>35</v>
              </pt>
              <pt idx="8">
                <v>87</v>
              </pt>
            </numLit>
          </val>
          <smooth val="0"/>
        </ser>
        <ser>
          <idx val="2"/>
          <order val="2"/>
          <tx>
            <v>Drift (U)x</v>
          </tx>
          <spPr>
            <a:ln w="254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0">
                <v>101</v>
              </pt>
              <pt idx="1">
                <v>100</v>
              </pt>
              <pt idx="2">
                <v>99</v>
              </pt>
              <pt idx="3">
                <v>96</v>
              </pt>
              <pt idx="4">
                <v>95</v>
              </pt>
              <pt idx="5">
                <v>97</v>
              </pt>
              <pt idx="6">
                <v>100</v>
              </pt>
              <pt idx="7">
                <v>47</v>
              </pt>
              <pt idx="8">
                <v>38</v>
              </pt>
              <pt idx="9">
                <v>47</v>
              </pt>
              <pt idx="10">
                <v>46</v>
              </pt>
              <pt idx="11">
                <v>73</v>
              </pt>
              <pt idx="12">
                <v>86</v>
              </pt>
            </numLit>
          </val>
          <smooth val="0"/>
        </ser>
        <ser>
          <idx val="3"/>
          <order val="3"/>
          <tx>
            <v>Braced (U)x</v>
          </tx>
          <spPr>
            <a:ln w="254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9">
                <v>61</v>
              </pt>
              <pt idx="10">
                <v>94</v>
              </pt>
              <pt idx="11">
                <v>70</v>
              </pt>
              <pt idx="12">
                <v>31</v>
              </pt>
            </numLit>
          </val>
          <smooth val="0"/>
        </ser>
        <ser>
          <idx val="4"/>
          <order val="4"/>
          <tx>
            <v>Shear (S)x</v>
          </tx>
          <spPr>
            <a:ln w="254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5"/>
              </a:solidFill>
              <a:ln w="9525">
                <a:solidFill>
                  <a:schemeClr val="accent5"/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0">
                <v>8</v>
              </pt>
              <pt idx="1">
                <v>8</v>
              </pt>
              <pt idx="2">
                <v>8</v>
              </pt>
              <pt idx="3">
                <v>8</v>
              </pt>
              <pt idx="4">
                <v>8</v>
              </pt>
              <pt idx="5">
                <v>8</v>
              </pt>
              <pt idx="6">
                <v>7</v>
              </pt>
              <pt idx="7">
                <v>34</v>
              </pt>
              <pt idx="8">
                <v>55</v>
              </pt>
            </numLit>
          </val>
          <smooth val="0"/>
        </ser>
        <ser>
          <idx val="5"/>
          <order val="5"/>
          <tx>
            <v>Moment (S)x</v>
          </tx>
          <spPr>
            <a:ln w="254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0">
                <v>22</v>
              </pt>
              <pt idx="1">
                <v>21</v>
              </pt>
              <pt idx="2">
                <v>21</v>
              </pt>
              <pt idx="3">
                <v>20</v>
              </pt>
              <pt idx="4">
                <v>20</v>
              </pt>
              <pt idx="5">
                <v>20</v>
              </pt>
              <pt idx="6">
                <v>19</v>
              </pt>
              <pt idx="7">
                <v>21</v>
              </pt>
              <pt idx="8">
                <v>40</v>
              </pt>
            </numLit>
          </val>
          <smooth val="0"/>
        </ser>
        <ser>
          <idx val="6"/>
          <order val="6"/>
          <tx>
            <v>Drift (S)x</v>
          </tx>
          <spPr>
            <a:ln w="254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0">
                <v>45</v>
              </pt>
              <pt idx="1">
                <v>47</v>
              </pt>
              <pt idx="2">
                <v>45</v>
              </pt>
              <pt idx="3">
                <v>44</v>
              </pt>
              <pt idx="4">
                <v>44</v>
              </pt>
              <pt idx="5">
                <v>44</v>
              </pt>
              <pt idx="6">
                <v>46</v>
              </pt>
              <pt idx="7">
                <v>36</v>
              </pt>
              <pt idx="8">
                <v>48</v>
              </pt>
              <pt idx="9">
                <v>54</v>
              </pt>
              <pt idx="10">
                <v>55</v>
              </pt>
              <pt idx="11">
                <v>88</v>
              </pt>
              <pt idx="12">
                <v>97</v>
              </pt>
            </numLit>
          </val>
          <smooth val="0"/>
        </ser>
        <ser>
          <idx val="7"/>
          <order val="7"/>
          <tx>
            <v>Braced (S)x</v>
          </tx>
          <spPr>
            <a:ln w="254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9">
                <v>12</v>
              </pt>
              <pt idx="10">
                <v>19</v>
              </pt>
              <pt idx="11">
                <v>14</v>
              </pt>
              <pt idx="12">
                <v>15</v>
              </pt>
            </numLit>
          </val>
          <smooth val="0"/>
        </ser>
        <ser>
          <idx val="8"/>
          <order val="8"/>
          <tx>
            <v>Shear (U)y</v>
          </tx>
          <spPr>
            <a:ln w="254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0">
                <v>14</v>
              </pt>
              <pt idx="1">
                <v>73</v>
              </pt>
              <pt idx="2">
                <v>62</v>
              </pt>
              <pt idx="7">
                <v>14</v>
              </pt>
              <pt idx="8">
                <v>13</v>
              </pt>
              <pt idx="9">
                <v>13</v>
              </pt>
              <pt idx="10">
                <v>13</v>
              </pt>
              <pt idx="11">
                <v>14</v>
              </pt>
              <pt idx="12">
                <v>14</v>
              </pt>
            </numLit>
          </val>
          <smooth val="0"/>
        </ser>
        <ser>
          <idx val="9"/>
          <order val="9"/>
          <tx>
            <v>Moment (U)y</v>
          </tx>
          <spPr>
            <a:ln w="254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0">
                <v>26</v>
              </pt>
              <pt idx="1">
                <v>97</v>
              </pt>
              <pt idx="2">
                <v>80</v>
              </pt>
              <pt idx="7">
                <v>26</v>
              </pt>
              <pt idx="8">
                <v>25</v>
              </pt>
              <pt idx="9">
                <v>25</v>
              </pt>
              <pt idx="10">
                <v>25</v>
              </pt>
              <pt idx="11">
                <v>25</v>
              </pt>
              <pt idx="12">
                <v>25</v>
              </pt>
            </numLit>
          </val>
          <smooth val="0"/>
        </ser>
        <ser>
          <idx val="10"/>
          <order val="10"/>
          <tx>
            <v>Drift (U)y</v>
          </tx>
          <spPr>
            <a:ln w="25400" cap="rnd">
              <a:noFill/>
              <a:prstDash val="solid"/>
              <a:round/>
            </a:ln>
          </spPr>
          <marker>
            <symbol val="square"/>
            <size val="6"/>
            <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0">
                <v>100</v>
              </pt>
              <pt idx="1">
                <v>65</v>
              </pt>
              <pt idx="2">
                <v>28</v>
              </pt>
              <pt idx="3">
                <v>48</v>
              </pt>
              <pt idx="4">
                <v>39</v>
              </pt>
              <pt idx="5">
                <v>74</v>
              </pt>
              <pt idx="6">
                <v>77</v>
              </pt>
              <pt idx="7">
                <v>101</v>
              </pt>
              <pt idx="8">
                <v>100</v>
              </pt>
              <pt idx="9">
                <v>99</v>
              </pt>
              <pt idx="10">
                <v>100</v>
              </pt>
              <pt idx="11">
                <v>100</v>
              </pt>
              <pt idx="12">
                <v>100</v>
              </pt>
            </numLit>
          </val>
          <smooth val="0"/>
        </ser>
        <ser>
          <idx val="11"/>
          <order val="11"/>
          <tx>
            <v>Braced (U)y</v>
          </tx>
          <spPr>
            <a:ln w="25400" cap="rnd">
              <a:noFill/>
              <a:prstDash val="solid"/>
              <a:round/>
            </a:ln>
          </spPr>
          <marker>
            <symbol val="triangle"/>
            <size val="6"/>
            <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3">
                <v>63</v>
              </pt>
              <pt idx="4">
                <v>99</v>
              </pt>
              <pt idx="5">
                <v>72</v>
              </pt>
              <pt idx="6">
                <v>53</v>
              </pt>
            </numLit>
          </val>
          <smooth val="0"/>
        </ser>
        <ser>
          <idx val="12"/>
          <order val="12"/>
          <tx>
            <v>Shear (S)y</v>
          </tx>
          <spPr>
            <a:ln w="25400" cap="rnd">
              <a:noFill/>
              <a:prstDash val="solid"/>
              <a:round/>
            </a:ln>
          </spPr>
          <marker>
            <symbol val="x"/>
            <size val="6"/>
            <spPr>
              <a:noFill/>
              <a:ln w="9525">
                <a:solidFill>
                  <a:schemeClr val="accent1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0">
                <v>9</v>
              </pt>
              <pt idx="1">
                <v>28</v>
              </pt>
              <pt idx="2">
                <v>36</v>
              </pt>
              <pt idx="7">
                <v>9</v>
              </pt>
              <pt idx="8">
                <v>8</v>
              </pt>
              <pt idx="9">
                <v>8</v>
              </pt>
              <pt idx="10">
                <v>8</v>
              </pt>
              <pt idx="11">
                <v>8</v>
              </pt>
              <pt idx="12">
                <v>8</v>
              </pt>
            </numLit>
          </val>
          <smooth val="0"/>
        </ser>
        <ser>
          <idx val="13"/>
          <order val="13"/>
          <tx>
            <v>Moment (S)y</v>
          </tx>
          <spPr>
            <a:ln w="25400" cap="rnd">
              <a:noFill/>
              <a:prstDash val="solid"/>
              <a:round/>
            </a:ln>
          </spPr>
          <marker>
            <symbol val="star"/>
            <size val="6"/>
            <spPr>
              <a:noFill/>
              <a:ln w="9525">
                <a:solidFill>
                  <a:schemeClr val="accent2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0">
                <v>22</v>
              </pt>
              <pt idx="1">
                <v>28</v>
              </pt>
              <pt idx="2">
                <v>28</v>
              </pt>
              <pt idx="7">
                <v>22</v>
              </pt>
              <pt idx="8">
                <v>21</v>
              </pt>
              <pt idx="9">
                <v>21</v>
              </pt>
              <pt idx="10">
                <v>21</v>
              </pt>
              <pt idx="11">
                <v>21</v>
              </pt>
              <pt idx="12">
                <v>21</v>
              </pt>
            </numLit>
          </val>
          <smooth val="0"/>
        </ser>
        <ser>
          <idx val="14"/>
          <order val="14"/>
          <tx>
            <v>Drift (S)y</v>
          </tx>
          <spPr>
            <a:ln w="25400" cap="rnd">
              <a:noFill/>
              <a:prstDash val="solid"/>
              <a:round/>
            </a:ln>
          </spPr>
          <marker>
            <symbol val="circle"/>
            <size val="6"/>
            <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0">
                <v>45</v>
              </pt>
              <pt idx="1">
                <v>39</v>
              </pt>
              <pt idx="2">
                <v>36</v>
              </pt>
              <pt idx="3">
                <v>55</v>
              </pt>
              <pt idx="4">
                <v>48</v>
              </pt>
              <pt idx="5">
                <v>90</v>
              </pt>
              <pt idx="6">
                <v>85</v>
              </pt>
              <pt idx="7">
                <v>46</v>
              </pt>
              <pt idx="8">
                <v>46</v>
              </pt>
              <pt idx="9">
                <v>45</v>
              </pt>
              <pt idx="10">
                <v>46</v>
              </pt>
              <pt idx="11">
                <v>46</v>
              </pt>
              <pt idx="12">
                <v>46</v>
              </pt>
            </numLit>
          </val>
          <smooth val="0"/>
        </ser>
        <ser>
          <idx val="15"/>
          <order val="15"/>
          <tx>
            <v>Braced (S)y</v>
          </tx>
          <spPr>
            <a:ln w="25400" cap="rnd">
              <a:noFill/>
              <a:prstDash val="solid"/>
              <a:round/>
            </a:ln>
          </spPr>
          <marker>
            <symbol val="plus"/>
            <size val="6"/>
            <spPr>
              <a:noFill/>
              <a:ln w="9525">
                <a:solidFill>
                  <a:schemeClr val="accent4">
                    <a:lumMod val="80000"/>
                    <a:lumOff val="20000"/>
                  </a:schemeClr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3">
                <v>12</v>
              </pt>
              <pt idx="4">
                <v>20</v>
              </pt>
              <pt idx="5">
                <v>14</v>
              </pt>
              <pt idx="6">
                <v>26</v>
              </pt>
            </numLit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382048448"/>
        <axId val="1382053728"/>
      </lineChart>
      <catAx>
        <axId val="1382048448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800" b="0" i="0" strike="noStrike" kern="1200" cap="all" spc="12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82053728"/>
        <crosses val="autoZero"/>
        <auto val="1"/>
        <lblAlgn val="ctr"/>
        <lblOffset val="100"/>
        <noMultiLvlLbl val="0"/>
      </catAx>
      <valAx>
        <axId val="1382053728"/>
        <scaling>
          <orientation val="minMax"/>
          <max val="120"/>
        </scaling>
        <delete val="0"/>
        <axPos val="l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82048448"/>
        <crosses val="autoZero"/>
        <crossBetween val="between"/>
      </valAx>
    </plotArea>
    <legend>
      <legendPos val="t"/>
      <layout>
        <manualLayout>
          <xMode val="edge"/>
          <yMode val="edge"/>
          <wMode val="factor"/>
          <hMode val="factor"/>
          <x val="0.01204840106302674"/>
          <y val="0.9188008892045828"/>
          <w val="0.9780143568786298"/>
          <h val="0.0686578503554944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1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7996452398113428"/>
          <y val="0.02622824926666922"/>
          <w val="0.915158977107344"/>
          <h val="0.6953300009988597"/>
        </manualLayout>
      </layout>
      <lineChart>
        <grouping val="standard"/>
        <varyColors val="0"/>
        <ser>
          <idx val="0"/>
          <order val="0"/>
          <tx>
            <v>Shear (U)x</v>
          </tx>
          <spPr>
            <a:ln w="3175" cap="rnd">
              <a:solidFill>
                <a:srgbClr val="0070C0"/>
              </a:solidFill>
              <a:prstDash val="solid"/>
              <a:round/>
            </a:ln>
          </spPr>
          <marker>
            <symbol val="diamond"/>
            <size val="6"/>
            <spPr>
              <a:noFill/>
              <a:ln w="3175">
                <a:solidFill>
                  <a:srgbClr val="0070C0"/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0">
                <v>11</v>
              </pt>
              <pt idx="1">
                <v>11</v>
              </pt>
              <pt idx="2">
                <v>10</v>
              </pt>
              <pt idx="3">
                <v>11</v>
              </pt>
              <pt idx="4">
                <v>11</v>
              </pt>
              <pt idx="5">
                <v>11</v>
              </pt>
              <pt idx="6">
                <v>11</v>
              </pt>
              <pt idx="7">
                <v>99</v>
              </pt>
              <pt idx="8">
                <v>99</v>
              </pt>
            </numLit>
          </val>
          <smooth val="0"/>
        </ser>
        <ser>
          <idx val="1"/>
          <order val="1"/>
          <tx>
            <v>Moment (U)x</v>
          </tx>
          <spPr>
            <a:ln w="3175" cap="rnd">
              <a:solidFill>
                <a:schemeClr val="accent2"/>
              </a:solidFill>
              <a:prstDash val="solid"/>
              <a:round/>
            </a:ln>
          </spPr>
          <marker>
            <symbol val="square"/>
            <size val="6"/>
            <spPr>
              <a:noFill/>
              <a:ln w="3175">
                <a:solidFill>
                  <a:schemeClr val="accent2"/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0">
                <v>23</v>
              </pt>
              <pt idx="1">
                <v>23</v>
              </pt>
              <pt idx="2">
                <v>22</v>
              </pt>
              <pt idx="3">
                <v>22</v>
              </pt>
              <pt idx="4">
                <v>22</v>
              </pt>
              <pt idx="5">
                <v>22</v>
              </pt>
              <pt idx="6">
                <v>23</v>
              </pt>
              <pt idx="7">
                <v>34</v>
              </pt>
              <pt idx="8">
                <v>100</v>
              </pt>
            </numLit>
          </val>
          <smooth val="0"/>
        </ser>
        <ser>
          <idx val="2"/>
          <order val="2"/>
          <tx>
            <v>Drift (U)x</v>
          </tx>
          <spPr>
            <a:ln w="3175" cap="rnd">
              <a:solidFill>
                <a:schemeClr val="accent6">
                  <a:lumMod val="50000"/>
                </a:schemeClr>
              </a:solidFill>
              <a:prstDash val="solid"/>
              <a:round/>
            </a:ln>
          </spPr>
          <marker>
            <symbol val="triangle"/>
            <size val="6"/>
            <spPr>
              <a:noFill/>
              <a:ln w="3175">
                <a:solidFill>
                  <a:schemeClr val="accent6">
                    <a:lumMod val="50000"/>
                  </a:schemeClr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0">
                <v>99</v>
              </pt>
              <pt idx="1">
                <v>99</v>
              </pt>
              <pt idx="2">
                <v>97</v>
              </pt>
              <pt idx="3">
                <v>96</v>
              </pt>
              <pt idx="4">
                <v>95</v>
              </pt>
              <pt idx="5">
                <v>97</v>
              </pt>
              <pt idx="6">
                <v>100</v>
              </pt>
              <pt idx="7">
                <v>43</v>
              </pt>
              <pt idx="8">
                <v>43</v>
              </pt>
              <pt idx="9">
                <v>42</v>
              </pt>
              <pt idx="10">
                <v>43</v>
              </pt>
              <pt idx="11">
                <v>62</v>
              </pt>
              <pt idx="12">
                <v>75</v>
              </pt>
            </numLit>
          </val>
          <smooth val="0"/>
        </ser>
        <ser>
          <idx val="3"/>
          <order val="3"/>
          <tx>
            <v>Braced (U)x</v>
          </tx>
          <spPr>
            <a:ln w="3175" cap="rnd">
              <a:solidFill>
                <a:srgbClr val="00B0F0"/>
              </a:solidFill>
              <a:prstDash val="solid"/>
              <a:round/>
            </a:ln>
          </spPr>
          <marker>
            <symbol val="x"/>
            <size val="6"/>
            <spPr>
              <a:noFill/>
              <a:ln w="3175">
                <a:solidFill>
                  <a:srgbClr val="00B0F0"/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9">
                <v>92</v>
              </pt>
              <pt idx="10">
                <v>97</v>
              </pt>
              <pt idx="11">
                <v>85</v>
              </pt>
              <pt idx="12">
                <v>51</v>
              </pt>
            </numLit>
          </val>
          <smooth val="0"/>
        </ser>
        <ser>
          <idx val="4"/>
          <order val="4"/>
          <tx>
            <v>Shear (S)x</v>
          </tx>
          <spPr>
            <a:ln w="3175" cap="rnd">
              <a:solidFill>
                <a:schemeClr val="accent5"/>
              </a:solidFill>
              <a:prstDash val="solid"/>
              <a:round/>
            </a:ln>
          </spPr>
          <marker>
            <symbol val="star"/>
            <size val="6"/>
            <spPr>
              <a:noFill/>
              <a:ln w="3175">
                <a:solidFill>
                  <a:schemeClr val="accent5"/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0">
                <v>7</v>
              </pt>
              <pt idx="1">
                <v>7</v>
              </pt>
              <pt idx="2">
                <v>7</v>
              </pt>
              <pt idx="3">
                <v>7</v>
              </pt>
              <pt idx="4">
                <v>7</v>
              </pt>
              <pt idx="5">
                <v>7</v>
              </pt>
              <pt idx="6">
                <v>7</v>
              </pt>
              <pt idx="7">
                <v>29</v>
              </pt>
              <pt idx="8">
                <v>55</v>
              </pt>
            </numLit>
          </val>
          <smooth val="0"/>
        </ser>
        <ser>
          <idx val="5"/>
          <order val="5"/>
          <tx>
            <v>Moment (S)x</v>
          </tx>
          <spPr>
            <a:ln w="3175" cap="rnd">
              <a:solidFill>
                <a:schemeClr val="accent3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6"/>
            <spPr>
              <a:noFill/>
              <a:ln w="3175">
                <a:solidFill>
                  <a:schemeClr val="accent3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0">
                <v>21</v>
              </pt>
              <pt idx="1">
                <v>21</v>
              </pt>
              <pt idx="2">
                <v>20</v>
              </pt>
              <pt idx="3">
                <v>19</v>
              </pt>
              <pt idx="4">
                <v>19</v>
              </pt>
              <pt idx="5">
                <v>19</v>
              </pt>
              <pt idx="6">
                <v>20</v>
              </pt>
              <pt idx="7">
                <v>19</v>
              </pt>
              <pt idx="8">
                <v>47</v>
              </pt>
            </numLit>
          </val>
          <smooth val="0"/>
        </ser>
        <ser>
          <idx val="6"/>
          <order val="6"/>
          <tx>
            <v>Drift (S)x</v>
          </tx>
          <spPr>
            <a:ln w="3175" cap="rnd">
              <a:solidFill>
                <a:srgbClr val="002060"/>
              </a:solidFill>
              <a:prstDash val="solid"/>
              <a:round/>
            </a:ln>
          </spPr>
          <marker>
            <symbol val="plus"/>
            <size val="6"/>
            <spPr>
              <a:noFill/>
              <a:ln w="3175">
                <a:solidFill>
                  <a:srgbClr val="002060"/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0">
                <v>48</v>
              </pt>
              <pt idx="1">
                <v>49</v>
              </pt>
              <pt idx="2">
                <v>47</v>
              </pt>
              <pt idx="3">
                <v>46</v>
              </pt>
              <pt idx="4">
                <v>45</v>
              </pt>
              <pt idx="5">
                <v>46</v>
              </pt>
              <pt idx="6">
                <v>48</v>
              </pt>
              <pt idx="7">
                <v>31</v>
              </pt>
              <pt idx="8">
                <v>54</v>
              </pt>
              <pt idx="9">
                <v>51</v>
              </pt>
              <pt idx="10">
                <v>51</v>
              </pt>
              <pt idx="11">
                <v>75</v>
              </pt>
              <pt idx="12">
                <v>89</v>
              </pt>
            </numLit>
          </val>
          <smooth val="0"/>
        </ser>
        <ser>
          <idx val="7"/>
          <order val="7"/>
          <tx>
            <v>Braced (S)x</v>
          </tx>
          <spPr>
            <a:ln w="3175" cap="rnd">
              <a:solidFill>
                <a:schemeClr val="accent2">
                  <a:lumMod val="50000"/>
                </a:schemeClr>
              </a:solidFill>
              <a:prstDash val="solid"/>
              <a:round/>
            </a:ln>
          </spPr>
          <marker>
            <symbol val="dot"/>
            <size val="6"/>
            <spPr>
              <a:solidFill>
                <a:schemeClr val="accent2">
                  <a:lumMod val="60000"/>
                </a:schemeClr>
              </a:solidFill>
              <a:ln w="3175">
                <a:solidFill>
                  <a:schemeClr val="accent2">
                    <a:lumMod val="50000"/>
                  </a:schemeClr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9">
                <v>18</v>
              </pt>
              <pt idx="10">
                <v>19</v>
              </pt>
              <pt idx="11">
                <v>17</v>
              </pt>
              <pt idx="12">
                <v>27</v>
              </pt>
            </numLit>
          </val>
          <smooth val="0"/>
        </ser>
        <ser>
          <idx val="8"/>
          <order val="8"/>
          <tx>
            <v>Shear (U)y</v>
          </tx>
          <spPr>
            <a:ln w="3175" cap="rnd">
              <a:solidFill>
                <a:schemeClr val="tx1"/>
              </a:solidFill>
              <a:prstDash val="solid"/>
              <a:round/>
            </a:ln>
          </spPr>
          <marker>
            <symbol val="dash"/>
            <size val="6"/>
            <spPr>
              <a:solidFill>
                <a:schemeClr val="accent3">
                  <a:lumMod val="60000"/>
                </a:schemeClr>
              </a:solidFill>
              <a:ln w="3175">
                <a:solidFill>
                  <a:schemeClr val="accent3">
                    <a:lumMod val="60000"/>
                  </a:schemeClr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0">
                <v>12</v>
              </pt>
              <pt idx="1">
                <v>68</v>
              </pt>
              <pt idx="2">
                <v>51</v>
              </pt>
              <pt idx="7">
                <v>11</v>
              </pt>
              <pt idx="8">
                <v>11</v>
              </pt>
              <pt idx="9">
                <v>11</v>
              </pt>
              <pt idx="10">
                <v>11</v>
              </pt>
              <pt idx="11">
                <v>11</v>
              </pt>
              <pt idx="12">
                <v>11</v>
              </pt>
            </numLit>
          </val>
          <smooth val="0"/>
        </ser>
        <ser>
          <idx val="9"/>
          <order val="9"/>
          <tx>
            <v>Moment (U)y</v>
          </tx>
          <spPr>
            <a:ln w="3175" cap="rnd">
              <a:solidFill>
                <a:schemeClr val="accent1"/>
              </a:solidFill>
              <a:prstDash val="solid"/>
              <a:round/>
            </a:ln>
          </spPr>
          <marker>
            <symbol val="diamond"/>
            <size val="6"/>
            <spPr>
              <a:noFill/>
              <a:ln w="3175">
                <a:solidFill>
                  <a:schemeClr val="accent1"/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0">
                <v>23</v>
              </pt>
              <pt idx="1">
                <v>95</v>
              </pt>
              <pt idx="2">
                <v>65</v>
              </pt>
              <pt idx="7">
                <v>23</v>
              </pt>
              <pt idx="8">
                <v>23</v>
              </pt>
              <pt idx="9">
                <v>23</v>
              </pt>
              <pt idx="10">
                <v>23</v>
              </pt>
              <pt idx="11">
                <v>23</v>
              </pt>
              <pt idx="12">
                <v>23</v>
              </pt>
            </numLit>
          </val>
          <smooth val="0"/>
        </ser>
        <ser>
          <idx val="10"/>
          <order val="10"/>
          <tx>
            <v>Drift (U)y</v>
          </tx>
          <spPr>
            <a:ln w="3175" cap="rnd">
              <a:solidFill>
                <a:schemeClr val="accent5">
                  <a:lumMod val="75000"/>
                </a:schemeClr>
              </a:solidFill>
              <a:prstDash val="solid"/>
              <a:round/>
            </a:ln>
          </spPr>
          <marker>
            <symbol val="square"/>
            <size val="6"/>
            <spPr>
              <a:noFill/>
              <a:ln w="3175">
                <a:solidFill>
                  <a:schemeClr val="accent5">
                    <a:lumMod val="75000"/>
                  </a:schemeClr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0">
                <v>100</v>
              </pt>
              <pt idx="1">
                <v>73</v>
              </pt>
              <pt idx="2">
                <v>23</v>
              </pt>
              <pt idx="3">
                <v>43</v>
              </pt>
              <pt idx="4">
                <v>44</v>
              </pt>
              <pt idx="5">
                <v>64</v>
              </pt>
              <pt idx="6">
                <v>78</v>
              </pt>
              <pt idx="7">
                <v>100</v>
              </pt>
              <pt idx="8">
                <v>100</v>
              </pt>
              <pt idx="9">
                <v>100</v>
              </pt>
              <pt idx="10">
                <v>100</v>
              </pt>
              <pt idx="11">
                <v>99</v>
              </pt>
              <pt idx="12">
                <v>100</v>
              </pt>
            </numLit>
          </val>
          <smooth val="0"/>
        </ser>
        <ser>
          <idx val="11"/>
          <order val="11"/>
          <tx>
            <v>Braced (U)y</v>
          </tx>
          <spPr>
            <a:ln w="3175" cap="rnd">
              <a:solidFill>
                <a:schemeClr val="accent2">
                  <a:lumMod val="75000"/>
                </a:schemeClr>
              </a:solidFill>
              <a:prstDash val="solid"/>
              <a:round/>
            </a:ln>
          </spPr>
          <marker>
            <symbol val="triangle"/>
            <size val="6"/>
            <spPr>
              <a:noFill/>
              <a:ln w="3175">
                <a:solidFill>
                  <a:schemeClr val="accent2">
                    <a:lumMod val="75000"/>
                  </a:schemeClr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3">
                <v>95</v>
              </pt>
              <pt idx="4">
                <v>100</v>
              </pt>
              <pt idx="5">
                <v>88</v>
              </pt>
              <pt idx="6">
                <v>53</v>
              </pt>
            </numLit>
          </val>
          <smooth val="0"/>
        </ser>
        <ser>
          <idx val="12"/>
          <order val="12"/>
          <tx>
            <v>Shear (S)y</v>
          </tx>
          <spPr>
            <a:ln w="3175" cap="rnd">
              <a:solidFill>
                <a:schemeClr val="accent1">
                  <a:lumMod val="75000"/>
                </a:schemeClr>
              </a:solidFill>
              <a:prstDash val="solid"/>
              <a:round/>
            </a:ln>
          </spPr>
          <marker>
            <symbol val="x"/>
            <size val="6"/>
            <spPr>
              <a:noFill/>
              <a:ln w="3175">
                <a:solidFill>
                  <a:schemeClr val="accent1">
                    <a:lumMod val="75000"/>
                  </a:schemeClr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0">
                <v>7</v>
              </pt>
              <pt idx="1">
                <v>27</v>
              </pt>
              <pt idx="2">
                <v>29</v>
              </pt>
              <pt idx="7">
                <v>7</v>
              </pt>
              <pt idx="8">
                <v>7</v>
              </pt>
              <pt idx="9">
                <v>7</v>
              </pt>
              <pt idx="10">
                <v>7</v>
              </pt>
              <pt idx="11">
                <v>7</v>
              </pt>
              <pt idx="12">
                <v>7</v>
              </pt>
            </numLit>
          </val>
          <smooth val="0"/>
        </ser>
        <ser>
          <idx val="13"/>
          <order val="13"/>
          <tx>
            <v>Moment (S)y</v>
          </tx>
          <spPr>
            <a:ln w="3175" cap="rnd">
              <a:solidFill>
                <a:schemeClr val="accent2"/>
              </a:solidFill>
              <a:prstDash val="solid"/>
              <a:round/>
            </a:ln>
          </spPr>
          <marker>
            <symbol val="star"/>
            <size val="6"/>
            <spPr>
              <a:noFill/>
              <a:ln w="3175">
                <a:solidFill>
                  <a:schemeClr val="accent2"/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0">
                <v>21</v>
              </pt>
              <pt idx="1">
                <v>29</v>
              </pt>
              <pt idx="2">
                <v>23</v>
              </pt>
              <pt idx="7">
                <v>21</v>
              </pt>
              <pt idx="8">
                <v>20</v>
              </pt>
              <pt idx="9">
                <v>20</v>
              </pt>
              <pt idx="10">
                <v>20</v>
              </pt>
              <pt idx="11">
                <v>20</v>
              </pt>
              <pt idx="12">
                <v>20</v>
              </pt>
            </numLit>
          </val>
          <smooth val="0"/>
        </ser>
        <ser>
          <idx val="14"/>
          <order val="14"/>
          <tx>
            <v>Drift (S)y</v>
          </tx>
          <spPr>
            <a:ln w="3175" cap="rnd">
              <a:solidFill>
                <a:srgbClr val="002060"/>
              </a:solidFill>
              <a:prstDash val="solid"/>
              <a:round/>
            </a:ln>
          </spPr>
          <marker>
            <symbol val="circle"/>
            <size val="6"/>
            <spPr>
              <a:noFill/>
              <a:ln w="3175">
                <a:solidFill>
                  <a:srgbClr val="002060"/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0">
                <v>48</v>
              </pt>
              <pt idx="1">
                <v>43</v>
              </pt>
              <pt idx="2">
                <v>29</v>
              </pt>
              <pt idx="3">
                <v>52</v>
              </pt>
              <pt idx="4">
                <v>53</v>
              </pt>
              <pt idx="5">
                <v>77</v>
              </pt>
              <pt idx="6">
                <v>92</v>
              </pt>
              <pt idx="7">
                <v>49</v>
              </pt>
              <pt idx="8">
                <v>48</v>
              </pt>
              <pt idx="9">
                <v>48</v>
              </pt>
              <pt idx="10">
                <v>47</v>
              </pt>
              <pt idx="11">
                <v>47</v>
              </pt>
              <pt idx="12">
                <v>47</v>
              </pt>
            </numLit>
          </val>
          <smooth val="0"/>
        </ser>
        <ser>
          <idx val="15"/>
          <order val="15"/>
          <tx>
            <v>Braced (S)y</v>
          </tx>
          <spPr>
            <a:ln w="3175" cap="rnd">
              <a:solidFill>
                <a:schemeClr val="accent4"/>
              </a:solidFill>
              <a:prstDash val="solid"/>
              <a:round/>
            </a:ln>
          </spPr>
          <marker>
            <symbol val="plus"/>
            <size val="6"/>
            <spPr>
              <a:noFill/>
              <a:ln w="3175">
                <a:solidFill>
                  <a:schemeClr val="accent4"/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3">
                <v>19</v>
              </pt>
              <pt idx="4">
                <v>20</v>
              </pt>
              <pt idx="5">
                <v>18</v>
              </pt>
              <pt idx="6">
                <v>28</v>
              </pt>
            </numLit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100258112"/>
        <axId val="1100274432"/>
      </lineChart>
      <catAx>
        <axId val="1100258112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800" b="0" i="0" strike="noStrike" kern="1200" cap="all" spc="12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100274432"/>
        <crosses val="autoZero"/>
        <auto val="1"/>
        <lblAlgn val="ctr"/>
        <lblOffset val="100"/>
        <noMultiLvlLbl val="0"/>
      </catAx>
      <valAx>
        <axId val="1100274432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100258112"/>
        <crosses val="autoZero"/>
        <crossBetween val="between"/>
      </valAx>
    </plotArea>
    <legend>
      <legendPos val="t"/>
      <layout>
        <manualLayout>
          <xMode val="edge"/>
          <yMode val="edge"/>
          <wMode val="factor"/>
          <hMode val="factor"/>
          <x val="0.01898190457255797"/>
          <y val="0.9266159231512623"/>
          <w val="0.9641628335228625"/>
          <h val="0.05592322251075706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600" b="0" i="0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2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7996452398113428"/>
          <y val="0.02622824926666922"/>
          <w val="0.915158977107344"/>
          <h val="0.6953300009988597"/>
        </manualLayout>
      </layout>
      <lineChart>
        <grouping val="standard"/>
        <varyColors val="0"/>
        <ser>
          <idx val="0"/>
          <order val="0"/>
          <tx>
            <v>Shear (U)x</v>
          </tx>
          <spPr>
            <a:ln w="3175" cap="rnd">
              <a:solidFill>
                <a:srgbClr val="0070C0"/>
              </a:solidFill>
              <a:prstDash val="solid"/>
              <a:round/>
            </a:ln>
          </spPr>
          <marker>
            <symbol val="diamond"/>
            <size val="6"/>
            <spPr>
              <a:noFill/>
              <a:ln w="3175">
                <a:solidFill>
                  <a:srgbClr val="0070C0"/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0">
                <v>11</v>
              </pt>
              <pt idx="1">
                <v>11</v>
              </pt>
              <pt idx="2">
                <v>10</v>
              </pt>
              <pt idx="3">
                <v>11</v>
              </pt>
              <pt idx="4">
                <v>11</v>
              </pt>
              <pt idx="5">
                <v>11</v>
              </pt>
              <pt idx="6">
                <v>11</v>
              </pt>
              <pt idx="7">
                <v>99</v>
              </pt>
              <pt idx="8">
                <v>99</v>
              </pt>
            </numLit>
          </val>
          <smooth val="0"/>
        </ser>
        <ser>
          <idx val="1"/>
          <order val="1"/>
          <tx>
            <v>Moment (U)x</v>
          </tx>
          <spPr>
            <a:ln w="3175" cap="rnd">
              <a:solidFill>
                <a:schemeClr val="accent2"/>
              </a:solidFill>
              <a:prstDash val="solid"/>
              <a:round/>
            </a:ln>
          </spPr>
          <marker>
            <symbol val="square"/>
            <size val="6"/>
            <spPr>
              <a:noFill/>
              <a:ln w="3175">
                <a:solidFill>
                  <a:schemeClr val="accent2"/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0">
                <v>23</v>
              </pt>
              <pt idx="1">
                <v>23</v>
              </pt>
              <pt idx="2">
                <v>22</v>
              </pt>
              <pt idx="3">
                <v>22</v>
              </pt>
              <pt idx="4">
                <v>22</v>
              </pt>
              <pt idx="5">
                <v>22</v>
              </pt>
              <pt idx="6">
                <v>23</v>
              </pt>
              <pt idx="7">
                <v>34</v>
              </pt>
              <pt idx="8">
                <v>100</v>
              </pt>
            </numLit>
          </val>
          <smooth val="0"/>
        </ser>
        <ser>
          <idx val="2"/>
          <order val="2"/>
          <tx>
            <v>Drift (U)x</v>
          </tx>
          <spPr>
            <a:ln w="3175" cap="rnd">
              <a:solidFill>
                <a:schemeClr val="accent6">
                  <a:lumMod val="50000"/>
                </a:schemeClr>
              </a:solidFill>
              <a:prstDash val="solid"/>
              <a:round/>
            </a:ln>
          </spPr>
          <marker>
            <symbol val="triangle"/>
            <size val="6"/>
            <spPr>
              <a:noFill/>
              <a:ln w="3175">
                <a:solidFill>
                  <a:schemeClr val="accent6">
                    <a:lumMod val="50000"/>
                  </a:schemeClr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0">
                <v>99</v>
              </pt>
              <pt idx="1">
                <v>99</v>
              </pt>
              <pt idx="2">
                <v>97</v>
              </pt>
              <pt idx="3">
                <v>96</v>
              </pt>
              <pt idx="4">
                <v>95</v>
              </pt>
              <pt idx="5">
                <v>97</v>
              </pt>
              <pt idx="6">
                <v>100</v>
              </pt>
              <pt idx="7">
                <v>43</v>
              </pt>
              <pt idx="8">
                <v>43</v>
              </pt>
              <pt idx="9">
                <v>42</v>
              </pt>
              <pt idx="10">
                <v>43</v>
              </pt>
              <pt idx="11">
                <v>62</v>
              </pt>
              <pt idx="12">
                <v>75</v>
              </pt>
            </numLit>
          </val>
          <smooth val="0"/>
        </ser>
        <ser>
          <idx val="3"/>
          <order val="3"/>
          <tx>
            <v>Braced (U)x</v>
          </tx>
          <spPr>
            <a:ln w="3175" cap="rnd">
              <a:solidFill>
                <a:srgbClr val="00B0F0"/>
              </a:solidFill>
              <a:prstDash val="solid"/>
              <a:round/>
            </a:ln>
          </spPr>
          <marker>
            <symbol val="x"/>
            <size val="6"/>
            <spPr>
              <a:noFill/>
              <a:ln w="3175">
                <a:solidFill>
                  <a:srgbClr val="00B0F0"/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9">
                <v>92</v>
              </pt>
              <pt idx="10">
                <v>97</v>
              </pt>
              <pt idx="11">
                <v>85</v>
              </pt>
              <pt idx="12">
                <v>51</v>
              </pt>
            </numLit>
          </val>
          <smooth val="0"/>
        </ser>
        <ser>
          <idx val="4"/>
          <order val="4"/>
          <tx>
            <v>Shear (S)x</v>
          </tx>
          <spPr>
            <a:ln w="3175" cap="rnd">
              <a:solidFill>
                <a:schemeClr val="accent5"/>
              </a:solidFill>
              <a:prstDash val="solid"/>
              <a:round/>
            </a:ln>
          </spPr>
          <marker>
            <symbol val="star"/>
            <size val="6"/>
            <spPr>
              <a:noFill/>
              <a:ln w="3175">
                <a:solidFill>
                  <a:schemeClr val="accent5"/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0">
                <v>7</v>
              </pt>
              <pt idx="1">
                <v>7</v>
              </pt>
              <pt idx="2">
                <v>7</v>
              </pt>
              <pt idx="3">
                <v>7</v>
              </pt>
              <pt idx="4">
                <v>7</v>
              </pt>
              <pt idx="5">
                <v>7</v>
              </pt>
              <pt idx="6">
                <v>7</v>
              </pt>
              <pt idx="7">
                <v>29</v>
              </pt>
              <pt idx="8">
                <v>55</v>
              </pt>
            </numLit>
          </val>
          <smooth val="0"/>
        </ser>
        <ser>
          <idx val="5"/>
          <order val="5"/>
          <tx>
            <v>Moment (S)x</v>
          </tx>
          <spPr>
            <a:ln w="3175" cap="rnd">
              <a:solidFill>
                <a:schemeClr val="accent3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circle"/>
            <size val="6"/>
            <spPr>
              <a:noFill/>
              <a:ln w="3175">
                <a:solidFill>
                  <a:schemeClr val="accent3">
                    <a:lumMod val="60000"/>
                    <a:lumOff val="40000"/>
                  </a:schemeClr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0">
                <v>21</v>
              </pt>
              <pt idx="1">
                <v>21</v>
              </pt>
              <pt idx="2">
                <v>20</v>
              </pt>
              <pt idx="3">
                <v>19</v>
              </pt>
              <pt idx="4">
                <v>19</v>
              </pt>
              <pt idx="5">
                <v>19</v>
              </pt>
              <pt idx="6">
                <v>20</v>
              </pt>
              <pt idx="7">
                <v>19</v>
              </pt>
              <pt idx="8">
                <v>47</v>
              </pt>
            </numLit>
          </val>
          <smooth val="0"/>
        </ser>
        <ser>
          <idx val="6"/>
          <order val="6"/>
          <tx>
            <v>Drift (S)x</v>
          </tx>
          <spPr>
            <a:ln w="3175" cap="rnd">
              <a:solidFill>
                <a:srgbClr val="002060"/>
              </a:solidFill>
              <a:prstDash val="solid"/>
              <a:round/>
            </a:ln>
          </spPr>
          <marker>
            <symbol val="plus"/>
            <size val="6"/>
            <spPr>
              <a:noFill/>
              <a:ln w="3175">
                <a:solidFill>
                  <a:srgbClr val="002060"/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0">
                <v>48</v>
              </pt>
              <pt idx="1">
                <v>49</v>
              </pt>
              <pt idx="2">
                <v>47</v>
              </pt>
              <pt idx="3">
                <v>46</v>
              </pt>
              <pt idx="4">
                <v>45</v>
              </pt>
              <pt idx="5">
                <v>46</v>
              </pt>
              <pt idx="6">
                <v>48</v>
              </pt>
              <pt idx="7">
                <v>31</v>
              </pt>
              <pt idx="8">
                <v>54</v>
              </pt>
              <pt idx="9">
                <v>51</v>
              </pt>
              <pt idx="10">
                <v>51</v>
              </pt>
              <pt idx="11">
                <v>75</v>
              </pt>
              <pt idx="12">
                <v>89</v>
              </pt>
            </numLit>
          </val>
          <smooth val="0"/>
        </ser>
        <ser>
          <idx val="7"/>
          <order val="7"/>
          <tx>
            <v>Braced (S)x</v>
          </tx>
          <spPr>
            <a:ln w="3175" cap="rnd">
              <a:solidFill>
                <a:schemeClr val="accent2">
                  <a:lumMod val="50000"/>
                </a:schemeClr>
              </a:solidFill>
              <a:prstDash val="solid"/>
              <a:round/>
            </a:ln>
          </spPr>
          <marker>
            <symbol val="dot"/>
            <size val="6"/>
            <spPr>
              <a:solidFill>
                <a:schemeClr val="accent2">
                  <a:lumMod val="60000"/>
                </a:schemeClr>
              </a:solidFill>
              <a:ln w="3175">
                <a:solidFill>
                  <a:schemeClr val="accent2">
                    <a:lumMod val="50000"/>
                  </a:schemeClr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9">
                <v>18</v>
              </pt>
              <pt idx="10">
                <v>19</v>
              </pt>
              <pt idx="11">
                <v>17</v>
              </pt>
              <pt idx="12">
                <v>27</v>
              </pt>
            </numLit>
          </val>
          <smooth val="0"/>
        </ser>
        <ser>
          <idx val="8"/>
          <order val="8"/>
          <tx>
            <v>Shear (U)y</v>
          </tx>
          <spPr>
            <a:ln w="3175" cap="rnd">
              <a:solidFill>
                <a:schemeClr val="tx1"/>
              </a:solidFill>
              <a:prstDash val="solid"/>
              <a:round/>
            </a:ln>
          </spPr>
          <marker>
            <symbol val="dash"/>
            <size val="6"/>
            <spPr>
              <a:solidFill>
                <a:schemeClr val="accent3">
                  <a:lumMod val="60000"/>
                </a:schemeClr>
              </a:solidFill>
              <a:ln w="3175">
                <a:solidFill>
                  <a:schemeClr val="accent3">
                    <a:lumMod val="60000"/>
                  </a:schemeClr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0">
                <v>12</v>
              </pt>
              <pt idx="1">
                <v>68</v>
              </pt>
              <pt idx="2">
                <v>51</v>
              </pt>
              <pt idx="7">
                <v>11</v>
              </pt>
              <pt idx="8">
                <v>11</v>
              </pt>
              <pt idx="9">
                <v>11</v>
              </pt>
              <pt idx="10">
                <v>11</v>
              </pt>
              <pt idx="11">
                <v>11</v>
              </pt>
              <pt idx="12">
                <v>11</v>
              </pt>
            </numLit>
          </val>
          <smooth val="0"/>
        </ser>
        <ser>
          <idx val="9"/>
          <order val="9"/>
          <tx>
            <v>Moment (U)y</v>
          </tx>
          <spPr>
            <a:ln w="3175" cap="rnd">
              <a:solidFill>
                <a:schemeClr val="accent1"/>
              </a:solidFill>
              <a:prstDash val="solid"/>
              <a:round/>
            </a:ln>
          </spPr>
          <marker>
            <symbol val="diamond"/>
            <size val="6"/>
            <spPr>
              <a:noFill/>
              <a:ln w="3175">
                <a:solidFill>
                  <a:schemeClr val="accent1"/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0">
                <v>23</v>
              </pt>
              <pt idx="1">
                <v>95</v>
              </pt>
              <pt idx="2">
                <v>65</v>
              </pt>
              <pt idx="7">
                <v>23</v>
              </pt>
              <pt idx="8">
                <v>23</v>
              </pt>
              <pt idx="9">
                <v>23</v>
              </pt>
              <pt idx="10">
                <v>23</v>
              </pt>
              <pt idx="11">
                <v>23</v>
              </pt>
              <pt idx="12">
                <v>23</v>
              </pt>
            </numLit>
          </val>
          <smooth val="0"/>
        </ser>
        <ser>
          <idx val="10"/>
          <order val="10"/>
          <tx>
            <v>Drift (U)y</v>
          </tx>
          <spPr>
            <a:ln w="3175" cap="rnd">
              <a:solidFill>
                <a:schemeClr val="accent5">
                  <a:lumMod val="75000"/>
                </a:schemeClr>
              </a:solidFill>
              <a:prstDash val="solid"/>
              <a:round/>
            </a:ln>
          </spPr>
          <marker>
            <symbol val="square"/>
            <size val="6"/>
            <spPr>
              <a:noFill/>
              <a:ln w="3175">
                <a:solidFill>
                  <a:schemeClr val="accent5">
                    <a:lumMod val="75000"/>
                  </a:schemeClr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0">
                <v>100</v>
              </pt>
              <pt idx="1">
                <v>73</v>
              </pt>
              <pt idx="2">
                <v>23</v>
              </pt>
              <pt idx="3">
                <v>43</v>
              </pt>
              <pt idx="4">
                <v>44</v>
              </pt>
              <pt idx="5">
                <v>64</v>
              </pt>
              <pt idx="6">
                <v>78</v>
              </pt>
              <pt idx="7">
                <v>100</v>
              </pt>
              <pt idx="8">
                <v>100</v>
              </pt>
              <pt idx="9">
                <v>100</v>
              </pt>
              <pt idx="10">
                <v>100</v>
              </pt>
              <pt idx="11">
                <v>99</v>
              </pt>
              <pt idx="12">
                <v>100</v>
              </pt>
            </numLit>
          </val>
          <smooth val="0"/>
        </ser>
        <ser>
          <idx val="11"/>
          <order val="11"/>
          <tx>
            <v>Braced (U)y</v>
          </tx>
          <spPr>
            <a:ln w="3175" cap="rnd">
              <a:solidFill>
                <a:schemeClr val="accent2">
                  <a:lumMod val="75000"/>
                </a:schemeClr>
              </a:solidFill>
              <a:prstDash val="solid"/>
              <a:round/>
            </a:ln>
          </spPr>
          <marker>
            <symbol val="triangle"/>
            <size val="6"/>
            <spPr>
              <a:noFill/>
              <a:ln w="3175">
                <a:solidFill>
                  <a:schemeClr val="accent2">
                    <a:lumMod val="75000"/>
                  </a:schemeClr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3">
                <v>95</v>
              </pt>
              <pt idx="4">
                <v>100</v>
              </pt>
              <pt idx="5">
                <v>88</v>
              </pt>
              <pt idx="6">
                <v>53</v>
              </pt>
            </numLit>
          </val>
          <smooth val="0"/>
        </ser>
        <ser>
          <idx val="12"/>
          <order val="12"/>
          <tx>
            <v>Shear (S)y</v>
          </tx>
          <spPr>
            <a:ln w="3175" cap="rnd">
              <a:solidFill>
                <a:schemeClr val="accent1">
                  <a:lumMod val="75000"/>
                </a:schemeClr>
              </a:solidFill>
              <a:prstDash val="solid"/>
              <a:round/>
            </a:ln>
          </spPr>
          <marker>
            <symbol val="x"/>
            <size val="6"/>
            <spPr>
              <a:noFill/>
              <a:ln w="3175">
                <a:solidFill>
                  <a:schemeClr val="accent1">
                    <a:lumMod val="75000"/>
                  </a:schemeClr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0">
                <v>7</v>
              </pt>
              <pt idx="1">
                <v>27</v>
              </pt>
              <pt idx="2">
                <v>29</v>
              </pt>
              <pt idx="7">
                <v>7</v>
              </pt>
              <pt idx="8">
                <v>7</v>
              </pt>
              <pt idx="9">
                <v>7</v>
              </pt>
              <pt idx="10">
                <v>7</v>
              </pt>
              <pt idx="11">
                <v>7</v>
              </pt>
              <pt idx="12">
                <v>7</v>
              </pt>
            </numLit>
          </val>
          <smooth val="0"/>
        </ser>
        <ser>
          <idx val="13"/>
          <order val="13"/>
          <tx>
            <v>Moment (S)y</v>
          </tx>
          <spPr>
            <a:ln w="3175" cap="rnd">
              <a:solidFill>
                <a:schemeClr val="accent2"/>
              </a:solidFill>
              <a:prstDash val="solid"/>
              <a:round/>
            </a:ln>
          </spPr>
          <marker>
            <symbol val="star"/>
            <size val="6"/>
            <spPr>
              <a:noFill/>
              <a:ln w="3175">
                <a:solidFill>
                  <a:schemeClr val="accent2"/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0">
                <v>21</v>
              </pt>
              <pt idx="1">
                <v>29</v>
              </pt>
              <pt idx="2">
                <v>23</v>
              </pt>
              <pt idx="7">
                <v>21</v>
              </pt>
              <pt idx="8">
                <v>20</v>
              </pt>
              <pt idx="9">
                <v>20</v>
              </pt>
              <pt idx="10">
                <v>20</v>
              </pt>
              <pt idx="11">
                <v>20</v>
              </pt>
              <pt idx="12">
                <v>20</v>
              </pt>
            </numLit>
          </val>
          <smooth val="0"/>
        </ser>
        <ser>
          <idx val="14"/>
          <order val="14"/>
          <tx>
            <v>Drift (S)y</v>
          </tx>
          <spPr>
            <a:ln w="3175" cap="rnd">
              <a:solidFill>
                <a:srgbClr val="002060"/>
              </a:solidFill>
              <a:prstDash val="solid"/>
              <a:round/>
            </a:ln>
          </spPr>
          <marker>
            <symbol val="circle"/>
            <size val="6"/>
            <spPr>
              <a:noFill/>
              <a:ln w="3175">
                <a:solidFill>
                  <a:srgbClr val="002060"/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0">
                <v>48</v>
              </pt>
              <pt idx="1">
                <v>43</v>
              </pt>
              <pt idx="2">
                <v>29</v>
              </pt>
              <pt idx="3">
                <v>52</v>
              </pt>
              <pt idx="4">
                <v>53</v>
              </pt>
              <pt idx="5">
                <v>77</v>
              </pt>
              <pt idx="6">
                <v>92</v>
              </pt>
              <pt idx="7">
                <v>49</v>
              </pt>
              <pt idx="8">
                <v>48</v>
              </pt>
              <pt idx="9">
                <v>48</v>
              </pt>
              <pt idx="10">
                <v>47</v>
              </pt>
              <pt idx="11">
                <v>47</v>
              </pt>
              <pt idx="12">
                <v>47</v>
              </pt>
            </numLit>
          </val>
          <smooth val="0"/>
        </ser>
        <ser>
          <idx val="15"/>
          <order val="15"/>
          <tx>
            <v>Braced (S)y</v>
          </tx>
          <spPr>
            <a:ln w="3175" cap="rnd">
              <a:solidFill>
                <a:schemeClr val="accent4"/>
              </a:solidFill>
              <a:prstDash val="solid"/>
              <a:round/>
            </a:ln>
          </spPr>
          <marker>
            <symbol val="plus"/>
            <size val="6"/>
            <spPr>
              <a:noFill/>
              <a:ln w="3175">
                <a:solidFill>
                  <a:schemeClr val="accent4"/>
                </a:solidFill>
                <a:prstDash val="solid"/>
                <a:round/>
              </a:ln>
            </spPr>
          </marker>
          <val>
            <numLit>
              <formatCode>General</formatCode>
              <ptCount val="13"/>
              <pt idx="3">
                <v>19</v>
              </pt>
              <pt idx="4">
                <v>20</v>
              </pt>
              <pt idx="5">
                <v>18</v>
              </pt>
              <pt idx="6">
                <v>28</v>
              </pt>
            </numLit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100258112"/>
        <axId val="1100274432"/>
      </lineChart>
      <catAx>
        <axId val="1100258112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800" b="0" i="0" strike="noStrike" kern="1200" cap="all" spc="12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100274432"/>
        <crosses val="autoZero"/>
        <auto val="1"/>
        <lblAlgn val="ctr"/>
        <lblOffset val="100"/>
        <noMultiLvlLbl val="0"/>
      </catAx>
      <valAx>
        <axId val="1100274432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100258112"/>
        <crosses val="autoZero"/>
        <crossBetween val="between"/>
      </valAx>
    </plotArea>
    <legend>
      <legendPos val="t"/>
      <layout>
        <manualLayout>
          <xMode val="edge"/>
          <yMode val="edge"/>
          <wMode val="factor"/>
          <hMode val="factor"/>
          <x val="0.01898190457255797"/>
          <y val="0.9266159231512623"/>
          <w val="0.9641628335228625"/>
          <h val="0.05592322251075706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600" b="0" i="0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image" Target="/xl/media/image1.png" Id="rId6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Relationship Type="http://schemas.openxmlformats.org/officeDocument/2006/relationships/chart" Target="/xl/charts/chart8.xml" Id="rId3" /><Relationship Type="http://schemas.openxmlformats.org/officeDocument/2006/relationships/chart" Target="/xl/charts/chart9.xml" Id="rId4" /><Relationship Type="http://schemas.openxmlformats.org/officeDocument/2006/relationships/chart" Target="/xl/charts/chart10.xml" Id="rId5" /><Relationship Type="http://schemas.openxmlformats.org/officeDocument/2006/relationships/chart" Target="/xl/charts/chart11.xml" Id="rId6" /><Relationship Type="http://schemas.openxmlformats.org/officeDocument/2006/relationships/chart" Target="/xl/charts/chart12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92</col>
      <colOff>0</colOff>
      <row>44</row>
      <rowOff>0</rowOff>
    </from>
    <to>
      <col>101</col>
      <colOff>465906</colOff>
      <row>72</row>
      <rowOff>90871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103</col>
      <colOff>0</colOff>
      <row>44</row>
      <rowOff>0</rowOff>
    </from>
    <to>
      <col>112</col>
      <colOff>465906</colOff>
      <row>72</row>
      <rowOff>90871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10</col>
      <colOff>447623</colOff>
      <row>21</row>
      <rowOff>31229</rowOff>
    </from>
    <to>
      <col>21</col>
      <colOff>265388</colOff>
      <row>48</row>
      <rowOff>28139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1</col>
      <colOff>343525</colOff>
      <row>21</row>
      <rowOff>20821</rowOff>
    </from>
    <to>
      <col>10</col>
      <colOff>243301</colOff>
      <row>48</row>
      <rowOff>31230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  <twoCellAnchor>
    <from>
      <col>21</col>
      <colOff>395573</colOff>
      <row>21</row>
      <rowOff>31230</rowOff>
    </from>
    <to>
      <col>32</col>
      <colOff>76523</colOff>
      <row>48</row>
      <rowOff>20820</rowOff>
    </to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twoCellAnchor>
  <twoCellAnchor editAs="oneCell">
    <from>
      <col>28</col>
      <colOff>187377</colOff>
      <row>6</row>
      <rowOff>9163</rowOff>
    </from>
    <to>
      <col>38</col>
      <colOff>310834</colOff>
      <row>17</row>
      <rowOff>166558</rowOff>
    </to>
    <pic>
      <nvPicPr>
        <cNvPr id="9" name="Picture 8"/>
        <cNvPicPr>
          <a:picLocks noChangeAspect="1"/>
        </cNvPicPr>
      </nvPicPr>
      <blipFill rotWithShape="1">
        <a:blip r:embed="rId6"/>
        <a:srcRect l="28567" t="36277" r="17721" b="26664"/>
        <a:stretch>
          <a:fillRect/>
        </a:stretch>
      </blipFill>
      <spPr>
        <a:xfrm>
          <a:off x="14896475" y="1070966"/>
          <a:ext cx="6265261" cy="2510018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82</col>
      <colOff>0</colOff>
      <row>18</row>
      <rowOff>0</rowOff>
    </from>
    <to>
      <col>91</col>
      <colOff>463720</colOff>
      <row>26</row>
      <rowOff>70725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91</col>
      <colOff>608989</colOff>
      <row>18</row>
      <rowOff>0</rowOff>
    </from>
    <to>
      <col>101</col>
      <colOff>451067</colOff>
      <row>21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102</col>
      <colOff>57374</colOff>
      <row>18</row>
      <rowOff>0</rowOff>
    </from>
    <to>
      <col>111</col>
      <colOff>513803</colOff>
      <row>21</row>
      <rowOff>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91</col>
      <colOff>591853</colOff>
      <row>21</row>
      <rowOff>0</rowOff>
    </from>
    <to>
      <col>101</col>
      <colOff>448855</colOff>
      <row>41</row>
      <rowOff>111116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  <twoCellAnchor>
    <from>
      <col>102</col>
      <colOff>130310</colOff>
      <row>21</row>
      <rowOff>0</rowOff>
    </from>
    <to>
      <col>112</col>
      <colOff>14929</colOff>
      <row>41</row>
      <rowOff>127117</rowOff>
    </to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twoCellAnchor>
  <twoCellAnchor>
    <from>
      <col>92</col>
      <colOff>0</colOff>
      <row>45</row>
      <rowOff>0</rowOff>
    </from>
    <to>
      <col>101</col>
      <colOff>465906</colOff>
      <row>73</row>
      <rowOff>90871</rowOff>
    </to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twoCellAnchor>
  <twoCellAnchor>
    <from>
      <col>103</col>
      <colOff>0</colOff>
      <row>45</row>
      <rowOff>0</rowOff>
    </from>
    <to>
      <col>112</col>
      <colOff>465906</colOff>
      <row>73</row>
      <rowOff>90871</rowOff>
    </to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zoomScale="85" workbookViewId="0">
      <selection activeCell="C11" sqref="C11"/>
    </sheetView>
  </sheetViews>
  <sheetFormatPr baseColWidth="8" defaultRowHeight="14.5"/>
  <cols>
    <col width="22.1796875" customWidth="1" style="12" min="1" max="4"/>
  </cols>
  <sheetData>
    <row r="1" ht="15.5" customHeight="1">
      <c r="A1" s="23" t="inlineStr">
        <is>
          <t>Tinggi floor-to-floor</t>
        </is>
      </c>
      <c r="B1" s="23" t="n">
        <v>3.06</v>
      </c>
      <c r="C1" s="23" t="n"/>
      <c r="D1" s="23" t="n"/>
    </row>
    <row r="2" ht="15.5" customHeight="1">
      <c r="A2" s="21" t="n"/>
      <c r="B2" s="21" t="n"/>
      <c r="C2" s="21" t="n"/>
      <c r="D2" s="21" t="n"/>
    </row>
    <row r="3" ht="46.5" customHeight="1">
      <c r="A3" s="24" t="inlineStr">
        <is>
          <t>Nama bangunan</t>
        </is>
      </c>
      <c r="B3" s="24" t="inlineStr">
        <is>
          <t>Panjang sisi depan bangunan (x) dalam meter</t>
        </is>
      </c>
      <c r="C3" s="24" t="inlineStr">
        <is>
          <t>Panjang sisi samping bangunan (y) dalam meter</t>
        </is>
      </c>
      <c r="D3" s="24" t="inlineStr">
        <is>
          <t>Ketinggian atap (sudut miring atap 300)</t>
        </is>
      </c>
      <c r="E3" s="11" t="n"/>
    </row>
    <row r="4" ht="15.5" customHeight="1">
      <c r="A4" s="27" t="inlineStr">
        <is>
          <t>HA</t>
        </is>
      </c>
      <c r="B4" s="27" t="n">
        <v>0</v>
      </c>
      <c r="C4" s="27" t="n">
        <v>0</v>
      </c>
      <c r="D4" s="25">
        <f>C4/(SQRT(3)*2)</f>
        <v/>
      </c>
    </row>
    <row r="5" ht="15.5" customHeight="1">
      <c r="A5" s="21" t="n"/>
      <c r="B5" s="21" t="n"/>
      <c r="C5" s="21" t="n"/>
      <c r="D5" s="21" t="n"/>
    </row>
  </sheetData>
  <pageMargins left="0.7" right="0.7" top="0.75" bottom="0.75" header="0.3" footer="0.3"/>
  <pageSetup orientation="landscape" paperSize="9" fitToWidth="0" horizontalDpi="429496729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B19"/>
  <sheetViews>
    <sheetView tabSelected="1" zoomScale="70" zoomScaleNormal="70" workbookViewId="0">
      <selection activeCell="AJ28" sqref="AJ28"/>
    </sheetView>
  </sheetViews>
  <sheetFormatPr baseColWidth="8" defaultRowHeight="14"/>
  <cols>
    <col width="8.7265625" customWidth="1" style="7" min="1" max="1"/>
    <col width="19.453125" customWidth="1" style="7" min="2" max="2"/>
    <col width="4" customWidth="1" style="7" min="3" max="5"/>
    <col width="7.90625" customWidth="1" style="7" min="6" max="6"/>
    <col width="8.90625" customWidth="1" style="8" min="7" max="7"/>
    <col width="4" customWidth="1" style="7" min="8" max="10"/>
    <col width="8.26953125" customWidth="1" style="7" min="11" max="11"/>
    <col width="8.90625" customWidth="1" style="8" min="12" max="12"/>
    <col width="7.7265625" customWidth="1" style="8" min="13" max="28"/>
    <col width="8.7265625" customWidth="1" style="8" min="29" max="16384"/>
  </cols>
  <sheetData>
    <row r="1">
      <c r="A1" s="31" t="inlineStr">
        <is>
          <t>LEMBAR KERJA RENCANA DIMENSI STRUKTUR LATERAL TERHADAP GEMPA DENGAN ANALISIS MENGGUNAKAN PERANGKAT LUNAK RESIST 4.0</t>
        </is>
      </c>
    </row>
    <row r="3">
      <c r="A3" s="9" t="inlineStr">
        <is>
          <t>Nama Bangunan</t>
        </is>
      </c>
      <c r="B3" s="9" t="n"/>
      <c r="C3" s="18" t="inlineStr">
        <is>
          <t>:</t>
        </is>
      </c>
      <c r="D3" s="26" t="inlineStr">
        <is>
          <t>HA</t>
        </is>
      </c>
      <c r="E3" s="9" t="n"/>
      <c r="F3" s="9" t="n"/>
      <c r="H3" s="9" t="inlineStr">
        <is>
          <t>Jarak antar elemen X</t>
        </is>
      </c>
      <c r="I3" s="9" t="n"/>
      <c r="J3" s="9" t="n"/>
      <c r="K3" s="9" t="n"/>
      <c r="L3" s="17" t="inlineStr">
        <is>
          <t>:</t>
        </is>
      </c>
      <c r="M3" s="10" t="n">
        <v>0</v>
      </c>
    </row>
    <row r="4">
      <c r="A4" s="9" t="inlineStr">
        <is>
          <t>Lokasi</t>
        </is>
      </c>
      <c r="B4" s="9" t="n"/>
      <c r="C4" s="18" t="inlineStr">
        <is>
          <t>:</t>
        </is>
      </c>
      <c r="D4" s="26" t="inlineStr"/>
      <c r="E4" s="9" t="n"/>
      <c r="F4" s="9" t="n"/>
      <c r="H4" s="9" t="inlineStr">
        <is>
          <t>Jarak antar elemen Y</t>
        </is>
      </c>
      <c r="I4" s="9" t="n"/>
      <c r="J4" s="9" t="n"/>
      <c r="K4" s="9" t="n"/>
      <c r="L4" s="17" t="inlineStr">
        <is>
          <t>:</t>
        </is>
      </c>
      <c r="M4" s="10" t="n">
        <v>0</v>
      </c>
    </row>
    <row r="5">
      <c r="A5" s="9" t="inlineStr">
        <is>
          <t>GPA (batas nilai bawah)</t>
        </is>
      </c>
      <c r="B5" s="9" t="n"/>
      <c r="C5" s="18" t="inlineStr">
        <is>
          <t>:</t>
        </is>
      </c>
      <c r="D5" s="22" t="inlineStr">
        <is>
          <t>PGA 0.4</t>
        </is>
      </c>
      <c r="E5" s="9" t="n"/>
      <c r="F5" s="9" t="n"/>
      <c r="H5" s="10" t="n"/>
      <c r="I5" s="9" t="n"/>
      <c r="J5" s="9" t="n"/>
      <c r="K5" s="9" t="n"/>
      <c r="L5" s="10" t="n"/>
    </row>
    <row r="7" ht="14.5" customFormat="1" customHeight="1" s="7">
      <c r="A7" s="32" t="inlineStr">
        <is>
          <t>No. data</t>
        </is>
      </c>
      <c r="B7" s="33" t="inlineStr">
        <is>
          <t>Data Masukkan</t>
        </is>
      </c>
      <c r="C7" s="46" t="n"/>
      <c r="D7" s="46" t="n"/>
      <c r="E7" s="46" t="n"/>
      <c r="F7" s="46" t="n"/>
      <c r="G7" s="47" t="n"/>
      <c r="H7" s="33" t="inlineStr">
        <is>
          <t>Data Masukkan</t>
        </is>
      </c>
      <c r="I7" s="46" t="n"/>
      <c r="J7" s="46" t="n"/>
      <c r="K7" s="46" t="n"/>
      <c r="L7" s="47" t="n"/>
      <c r="M7" s="34" t="inlineStr">
        <is>
          <t>Hasil sumbu x</t>
        </is>
      </c>
      <c r="N7" s="46" t="n"/>
      <c r="O7" s="46" t="n"/>
      <c r="P7" s="46" t="n"/>
      <c r="Q7" s="46" t="n"/>
      <c r="R7" s="46" t="n"/>
      <c r="S7" s="46" t="n"/>
      <c r="T7" s="47" t="n"/>
      <c r="U7" s="36" t="inlineStr">
        <is>
          <t>Hasil sumbu y</t>
        </is>
      </c>
      <c r="V7" s="46" t="n"/>
      <c r="W7" s="46" t="n"/>
      <c r="X7" s="46" t="n"/>
      <c r="Y7" s="46" t="n"/>
      <c r="Z7" s="46" t="n"/>
      <c r="AA7" s="46" t="n"/>
      <c r="AB7" s="47" t="n"/>
    </row>
    <row r="8" customFormat="1" s="7">
      <c r="A8" s="48" t="n"/>
      <c r="B8" s="33" t="inlineStr">
        <is>
          <t>Sumbu X</t>
        </is>
      </c>
      <c r="C8" s="46" t="n"/>
      <c r="D8" s="46" t="n"/>
      <c r="E8" s="46" t="n"/>
      <c r="F8" s="46" t="n"/>
      <c r="G8" s="47" t="n"/>
      <c r="H8" s="33" t="inlineStr">
        <is>
          <t>Sumbu Y</t>
        </is>
      </c>
      <c r="I8" s="46" t="n"/>
      <c r="J8" s="46" t="n"/>
      <c r="K8" s="46" t="n"/>
      <c r="L8" s="47" t="n"/>
      <c r="M8" s="34" t="inlineStr">
        <is>
          <t>Earthquake (U) (%)</t>
        </is>
      </c>
      <c r="N8" s="46" t="n"/>
      <c r="O8" s="46" t="n"/>
      <c r="P8" s="47" t="n"/>
      <c r="Q8" s="38" t="inlineStr">
        <is>
          <t>Earthquake (S) (%)</t>
        </is>
      </c>
      <c r="R8" s="46" t="n"/>
      <c r="S8" s="46" t="n"/>
      <c r="T8" s="47" t="n"/>
      <c r="U8" s="36" t="inlineStr">
        <is>
          <t>Earthquake (U) (%)</t>
        </is>
      </c>
      <c r="V8" s="46" t="n"/>
      <c r="W8" s="46" t="n"/>
      <c r="X8" s="47" t="n"/>
      <c r="Y8" s="40" t="inlineStr">
        <is>
          <t>Earthquake (S) (%)</t>
        </is>
      </c>
      <c r="Z8" s="46" t="n"/>
      <c r="AA8" s="46" t="n"/>
      <c r="AB8" s="47" t="n"/>
    </row>
    <row r="9" ht="42" customFormat="1" customHeight="1" s="7">
      <c r="A9" s="49" t="n"/>
      <c r="B9" s="32" t="inlineStr">
        <is>
          <t>ID Gabungan</t>
        </is>
      </c>
      <c r="C9" s="45" t="inlineStr">
        <is>
          <t>Sumbu X</t>
        </is>
      </c>
      <c r="D9" s="46" t="n"/>
      <c r="E9" s="47" t="n"/>
      <c r="F9" s="44" t="inlineStr">
        <is>
          <t>ID</t>
        </is>
      </c>
      <c r="G9" s="33" t="inlineStr">
        <is>
          <t>Dimensi kolom x (cm)</t>
        </is>
      </c>
      <c r="H9" s="45" t="inlineStr">
        <is>
          <t>Sumbu Y</t>
        </is>
      </c>
      <c r="I9" s="46" t="n"/>
      <c r="J9" s="47" t="n"/>
      <c r="K9" s="45" t="inlineStr">
        <is>
          <t>ID</t>
        </is>
      </c>
      <c r="L9" s="33" t="inlineStr">
        <is>
          <t>Dimensi kolom x (cm)</t>
        </is>
      </c>
      <c r="M9" s="34" t="inlineStr">
        <is>
          <t>Shear (U)x</t>
        </is>
      </c>
      <c r="N9" s="34" t="inlineStr">
        <is>
          <t>Moment (U)x</t>
        </is>
      </c>
      <c r="O9" s="34" t="inlineStr">
        <is>
          <t>Drift (U)x</t>
        </is>
      </c>
      <c r="P9" s="34" t="inlineStr">
        <is>
          <t>Braced (U)x</t>
        </is>
      </c>
      <c r="Q9" s="38" t="inlineStr">
        <is>
          <t>Shear (S)x</t>
        </is>
      </c>
      <c r="R9" s="38" t="inlineStr">
        <is>
          <t>Moment (S)x</t>
        </is>
      </c>
      <c r="S9" s="38" t="inlineStr">
        <is>
          <t>Drift (S)x</t>
        </is>
      </c>
      <c r="T9" s="38" t="inlineStr">
        <is>
          <t>Braced (S)x</t>
        </is>
      </c>
      <c r="U9" s="36" t="inlineStr">
        <is>
          <t>Shear (U)y</t>
        </is>
      </c>
      <c r="V9" s="36" t="inlineStr">
        <is>
          <t>Moment (U)y</t>
        </is>
      </c>
      <c r="W9" s="36" t="inlineStr">
        <is>
          <t>Drift (U)y</t>
        </is>
      </c>
      <c r="X9" s="36" t="inlineStr">
        <is>
          <t>Braced (U)y</t>
        </is>
      </c>
      <c r="Y9" s="40" t="inlineStr">
        <is>
          <t>Shear (S)y</t>
        </is>
      </c>
      <c r="Z9" s="40" t="inlineStr">
        <is>
          <t>Moment (S)y</t>
        </is>
      </c>
      <c r="AA9" s="40" t="inlineStr">
        <is>
          <t>Drift (S)y</t>
        </is>
      </c>
      <c r="AB9" s="40" t="inlineStr">
        <is>
          <t>Braced (S)y</t>
        </is>
      </c>
    </row>
    <row r="10" ht="14.5" customFormat="1" customHeight="1" s="7">
      <c r="A10" s="32" t="n">
        <v>1</v>
      </c>
      <c r="B10" s="32">
        <f>"0.4 "&amp;F10&amp;"-"&amp;K10</f>
        <v/>
      </c>
      <c r="C10" s="4" t="inlineStr">
        <is>
          <t>BF</t>
        </is>
      </c>
      <c r="D10" s="4" t="inlineStr">
        <is>
          <t>CO</t>
        </is>
      </c>
      <c r="E10" s="4" t="inlineStr">
        <is>
          <t>ST</t>
        </is>
      </c>
      <c r="F10" s="32">
        <f>CONCATENATE(C10,D10,E10)</f>
        <v/>
      </c>
      <c r="G10" s="28" t="n"/>
      <c r="H10" s="4" t="inlineStr">
        <is>
          <t>BF</t>
        </is>
      </c>
      <c r="I10" s="4" t="inlineStr">
        <is>
          <t>CO</t>
        </is>
      </c>
      <c r="J10" s="4" t="inlineStr">
        <is>
          <t>ST</t>
        </is>
      </c>
      <c r="K10" s="32">
        <f>CONCATENATE(H10,I10,J10)</f>
        <v/>
      </c>
      <c r="L10" s="28" t="n"/>
      <c r="M10" s="29" t="n"/>
      <c r="N10" s="30" t="n"/>
      <c r="O10" s="29" t="n"/>
      <c r="P10" s="29" t="n"/>
      <c r="Q10" s="30" t="n"/>
      <c r="R10" s="30" t="n"/>
      <c r="S10" s="29" t="n"/>
      <c r="T10" s="29" t="n"/>
      <c r="U10" s="30" t="n"/>
      <c r="V10" s="30" t="n"/>
      <c r="W10" s="29" t="n"/>
      <c r="X10" s="29" t="n"/>
      <c r="Y10" s="30" t="n"/>
      <c r="Z10" s="30" t="n"/>
      <c r="AA10" s="29" t="n"/>
      <c r="AB10" s="29" t="n"/>
    </row>
    <row r="11" ht="14.5" customFormat="1" customHeight="1" s="7">
      <c r="A11" s="32" t="n">
        <v>2</v>
      </c>
      <c r="B11" s="32">
        <f>"0.4 "&amp;F11&amp;"-"&amp;K11</f>
        <v/>
      </c>
      <c r="C11" s="5" t="inlineStr">
        <is>
          <t>BF</t>
        </is>
      </c>
      <c r="D11" s="5" t="inlineStr">
        <is>
          <t>CT</t>
        </is>
      </c>
      <c r="E11" s="5" t="inlineStr">
        <is>
          <t>ST</t>
        </is>
      </c>
      <c r="F11" s="32">
        <f>CONCATENATE(C11,D11,E11)</f>
        <v/>
      </c>
      <c r="G11" s="28" t="n"/>
      <c r="H11" s="5" t="inlineStr">
        <is>
          <t>BF</t>
        </is>
      </c>
      <c r="I11" s="5" t="inlineStr">
        <is>
          <t>CT</t>
        </is>
      </c>
      <c r="J11" s="5" t="inlineStr">
        <is>
          <t>ST</t>
        </is>
      </c>
      <c r="K11" s="32">
        <f>CONCATENATE(H11,I11,J11)</f>
        <v/>
      </c>
      <c r="L11" s="28" t="n"/>
      <c r="M11" s="29" t="n"/>
      <c r="N11" s="30" t="n"/>
      <c r="O11" s="29" t="n"/>
      <c r="P11" s="29" t="n"/>
      <c r="Q11" s="30" t="n"/>
      <c r="R11" s="30" t="n"/>
      <c r="S11" s="29" t="n"/>
      <c r="T11" s="29" t="n"/>
      <c r="U11" s="30" t="n"/>
      <c r="V11" s="30" t="n"/>
      <c r="W11" s="29" t="n"/>
      <c r="X11" s="29" t="n"/>
      <c r="Y11" s="30" t="n"/>
      <c r="Z11" s="30" t="n"/>
      <c r="AA11" s="29" t="n"/>
      <c r="AB11" s="29" t="n"/>
    </row>
    <row r="12" ht="14.5" customFormat="1" customHeight="1" s="7">
      <c r="A12" s="32" t="n">
        <v>3</v>
      </c>
      <c r="B12" s="32">
        <f>"0.4 "&amp;F12&amp;"-"&amp;K12</f>
        <v/>
      </c>
      <c r="C12" s="6" t="inlineStr">
        <is>
          <t>BF</t>
        </is>
      </c>
      <c r="D12" s="6" t="inlineStr">
        <is>
          <t>EC</t>
        </is>
      </c>
      <c r="E12" s="6" t="inlineStr">
        <is>
          <t>ST</t>
        </is>
      </c>
      <c r="F12" s="32">
        <f>CONCATENATE(C12,D12,E12)</f>
        <v/>
      </c>
      <c r="G12" s="28" t="n"/>
      <c r="H12" s="6" t="inlineStr">
        <is>
          <t>BF</t>
        </is>
      </c>
      <c r="I12" s="6" t="inlineStr">
        <is>
          <t>EC</t>
        </is>
      </c>
      <c r="J12" s="6" t="inlineStr">
        <is>
          <t>ST</t>
        </is>
      </c>
      <c r="K12" s="32">
        <f>CONCATENATE(H12,I12,J12)</f>
        <v/>
      </c>
      <c r="L12" s="28" t="n"/>
      <c r="M12" s="29" t="n"/>
      <c r="N12" s="30" t="n"/>
      <c r="O12" s="29" t="n"/>
      <c r="P12" s="29" t="n"/>
      <c r="Q12" s="30" t="n"/>
      <c r="R12" s="30" t="n"/>
      <c r="S12" s="29" t="n"/>
      <c r="T12" s="29" t="n"/>
      <c r="U12" s="30" t="n"/>
      <c r="V12" s="30" t="n"/>
      <c r="W12" s="29" t="n"/>
      <c r="X12" s="29" t="n"/>
      <c r="Y12" s="30" t="n"/>
      <c r="Z12" s="30" t="n"/>
      <c r="AA12" s="29" t="n"/>
      <c r="AB12" s="29" t="n"/>
    </row>
    <row r="13" customFormat="1" s="7">
      <c r="A13" s="32" t="n">
        <v>4</v>
      </c>
      <c r="B13" s="32">
        <f>"0.4 "&amp;F13&amp;"-"&amp;K13</f>
        <v/>
      </c>
      <c r="C13" s="4" t="inlineStr">
        <is>
          <t>BF</t>
        </is>
      </c>
      <c r="D13" s="4" t="inlineStr">
        <is>
          <t>CO</t>
        </is>
      </c>
      <c r="E13" s="4" t="inlineStr">
        <is>
          <t>ST</t>
        </is>
      </c>
      <c r="F13" s="32">
        <f>CONCATENATE(C13,D13,E13)</f>
        <v/>
      </c>
      <c r="G13" s="28" t="n"/>
      <c r="H13" s="5" t="inlineStr">
        <is>
          <t>BF</t>
        </is>
      </c>
      <c r="I13" s="5" t="inlineStr">
        <is>
          <t>CT</t>
        </is>
      </c>
      <c r="J13" s="5" t="inlineStr">
        <is>
          <t>ST</t>
        </is>
      </c>
      <c r="K13" s="32">
        <f>CONCATENATE(H13,I13,J13)</f>
        <v/>
      </c>
      <c r="L13" s="28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</row>
    <row r="14" customFormat="1" s="7">
      <c r="A14" s="32" t="n">
        <v>5</v>
      </c>
      <c r="B14" s="32">
        <f>"0.4 "&amp;F14&amp;"-"&amp;K14</f>
        <v/>
      </c>
      <c r="C14" s="4" t="inlineStr">
        <is>
          <t>BF</t>
        </is>
      </c>
      <c r="D14" s="4" t="inlineStr">
        <is>
          <t>CO</t>
        </is>
      </c>
      <c r="E14" s="4" t="inlineStr">
        <is>
          <t>ST</t>
        </is>
      </c>
      <c r="F14" s="32">
        <f>CONCATENATE(C14,D14,E14)</f>
        <v/>
      </c>
      <c r="G14" s="28" t="n"/>
      <c r="H14" s="6" t="inlineStr">
        <is>
          <t>BF</t>
        </is>
      </c>
      <c r="I14" s="6" t="inlineStr">
        <is>
          <t>EC</t>
        </is>
      </c>
      <c r="J14" s="6" t="inlineStr">
        <is>
          <t>ST</t>
        </is>
      </c>
      <c r="K14" s="32">
        <f>CONCATENATE(H14,I14,J14)</f>
        <v/>
      </c>
      <c r="L14" s="28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</row>
    <row r="15" customFormat="1" s="7">
      <c r="A15" s="32" t="n">
        <v>6</v>
      </c>
      <c r="B15" s="32">
        <f>"0.4 "&amp;F15&amp;"-"&amp;K15</f>
        <v/>
      </c>
      <c r="C15" s="5" t="inlineStr">
        <is>
          <t>BF</t>
        </is>
      </c>
      <c r="D15" s="5" t="inlineStr">
        <is>
          <t>CT</t>
        </is>
      </c>
      <c r="E15" s="5" t="inlineStr">
        <is>
          <t>ST</t>
        </is>
      </c>
      <c r="F15" s="32">
        <f>CONCATENATE(C15,D15,E15)</f>
        <v/>
      </c>
      <c r="G15" s="28" t="n"/>
      <c r="H15" s="6" t="inlineStr">
        <is>
          <t>BF</t>
        </is>
      </c>
      <c r="I15" s="6" t="inlineStr">
        <is>
          <t>EC</t>
        </is>
      </c>
      <c r="J15" s="6" t="inlineStr">
        <is>
          <t>ST</t>
        </is>
      </c>
      <c r="K15" s="32">
        <f>CONCATENATE(H15,I15,J15)</f>
        <v/>
      </c>
      <c r="L15" s="28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</row>
    <row r="16" customFormat="1" s="7">
      <c r="A16" s="32" t="n">
        <v>7</v>
      </c>
      <c r="B16" s="32">
        <f>"0.4 "&amp;F16&amp;"-"&amp;K16</f>
        <v/>
      </c>
      <c r="C16" s="6" t="inlineStr">
        <is>
          <t>BF</t>
        </is>
      </c>
      <c r="D16" s="6" t="inlineStr">
        <is>
          <t>EC</t>
        </is>
      </c>
      <c r="E16" s="6" t="inlineStr">
        <is>
          <t>ST</t>
        </is>
      </c>
      <c r="F16" s="32">
        <f>CONCATENATE(C16,D16,E16)</f>
        <v/>
      </c>
      <c r="G16" s="28" t="n"/>
      <c r="H16" s="4" t="inlineStr">
        <is>
          <t>BF</t>
        </is>
      </c>
      <c r="I16" s="4" t="inlineStr">
        <is>
          <t>CO</t>
        </is>
      </c>
      <c r="J16" s="4" t="inlineStr">
        <is>
          <t>ST</t>
        </is>
      </c>
      <c r="K16" s="32">
        <f>CONCATENATE(H16,I16,J16)</f>
        <v/>
      </c>
      <c r="L16" s="28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</row>
    <row r="17" ht="14.5" customFormat="1" customHeight="1" s="7">
      <c r="A17" s="32" t="n">
        <v>8</v>
      </c>
      <c r="B17" s="32">
        <f>"0.4 "&amp;F17&amp;"-"&amp;K17</f>
        <v/>
      </c>
      <c r="C17" s="5" t="inlineStr">
        <is>
          <t>BF</t>
        </is>
      </c>
      <c r="D17" s="5" t="inlineStr">
        <is>
          <t>CT</t>
        </is>
      </c>
      <c r="E17" s="5" t="inlineStr">
        <is>
          <t>ST</t>
        </is>
      </c>
      <c r="F17" s="32">
        <f>CONCATENATE(C17,D17,E17)</f>
        <v/>
      </c>
      <c r="G17" s="28" t="n"/>
      <c r="H17" s="4" t="inlineStr">
        <is>
          <t>BF</t>
        </is>
      </c>
      <c r="I17" s="4" t="inlineStr">
        <is>
          <t>CO</t>
        </is>
      </c>
      <c r="J17" s="4" t="inlineStr">
        <is>
          <t>ST</t>
        </is>
      </c>
      <c r="K17" s="32">
        <f>CONCATENATE(H17,I17,J17)</f>
        <v/>
      </c>
      <c r="L17" s="28" t="n"/>
      <c r="M17" s="29" t="n"/>
      <c r="N17" s="30" t="n"/>
      <c r="O17" s="29" t="n"/>
      <c r="P17" s="29" t="n"/>
      <c r="Q17" s="30" t="n"/>
      <c r="R17" s="30" t="n"/>
      <c r="S17" s="29" t="n"/>
      <c r="T17" s="29" t="n"/>
      <c r="U17" s="30" t="n"/>
      <c r="V17" s="30" t="n"/>
      <c r="W17" s="29" t="n"/>
      <c r="X17" s="29" t="n"/>
      <c r="Y17" s="30" t="n"/>
      <c r="Z17" s="30" t="n"/>
      <c r="AA17" s="29" t="n"/>
      <c r="AB17" s="29" t="n"/>
    </row>
    <row r="18" customFormat="1" s="7">
      <c r="A18" s="32" t="n">
        <v>9</v>
      </c>
      <c r="B18" s="32">
        <f>"0.4 "&amp;F18&amp;"-"&amp;K18</f>
        <v/>
      </c>
      <c r="C18" s="6" t="inlineStr">
        <is>
          <t>BF</t>
        </is>
      </c>
      <c r="D18" s="6" t="inlineStr">
        <is>
          <t>EC</t>
        </is>
      </c>
      <c r="E18" s="6" t="inlineStr">
        <is>
          <t>ST</t>
        </is>
      </c>
      <c r="F18" s="32">
        <f>CONCATENATE(C18,D18,E18)</f>
        <v/>
      </c>
      <c r="G18" s="28" t="n"/>
      <c r="H18" s="5" t="inlineStr">
        <is>
          <t>BF</t>
        </is>
      </c>
      <c r="I18" s="5" t="inlineStr">
        <is>
          <t>CT</t>
        </is>
      </c>
      <c r="J18" s="5" t="inlineStr">
        <is>
          <t>ST</t>
        </is>
      </c>
      <c r="K18" s="32">
        <f>CONCATENATE(H18,I18,J18)</f>
        <v/>
      </c>
      <c r="L18" s="28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</row>
    <row r="19">
      <c r="L19" s="17" t="n"/>
    </row>
  </sheetData>
  <mergeCells count="14">
    <mergeCell ref="Y8:AB8"/>
    <mergeCell ref="M7:T7"/>
    <mergeCell ref="A7:A9"/>
    <mergeCell ref="U7:AB7"/>
    <mergeCell ref="H7:L7"/>
    <mergeCell ref="M8:P8"/>
    <mergeCell ref="Q8:T8"/>
    <mergeCell ref="U8:X8"/>
    <mergeCell ref="B8:G8"/>
    <mergeCell ref="C9:E9"/>
    <mergeCell ref="A1:AB1"/>
    <mergeCell ref="H9:J9"/>
    <mergeCell ref="H8:L8"/>
    <mergeCell ref="B7:G7"/>
  </mergeCells>
  <pageMargins left="0.7086614173228347" right="0.7086614173228347" top="0.7480314960629921" bottom="0.7480314960629921" header="0.3149606299212598" footer="0.3149606299212598"/>
  <pageSetup orientation="landscape" paperSize="9" scale="54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B19"/>
  <sheetViews>
    <sheetView zoomScale="64" zoomScaleNormal="115" workbookViewId="0">
      <selection activeCell="AA26" sqref="AA26"/>
    </sheetView>
  </sheetViews>
  <sheetFormatPr baseColWidth="8" defaultRowHeight="14"/>
  <cols>
    <col width="8.7265625" customWidth="1" style="7" min="1" max="1"/>
    <col width="19.453125" customWidth="1" style="7" min="2" max="2"/>
    <col width="4" customWidth="1" style="7" min="3" max="5"/>
    <col width="7.90625" customWidth="1" style="7" min="6" max="6"/>
    <col width="8.90625" customWidth="1" style="8" min="7" max="7"/>
    <col width="4" customWidth="1" style="7" min="8" max="10"/>
    <col width="8.26953125" customWidth="1" style="7" min="11" max="11"/>
    <col width="8.90625" customWidth="1" style="8" min="12" max="12"/>
    <col width="7.7265625" customWidth="1" style="8" min="13" max="28"/>
    <col width="8.7265625" customWidth="1" style="8" min="29" max="16384"/>
  </cols>
  <sheetData>
    <row r="1">
      <c r="A1" s="31" t="inlineStr">
        <is>
          <t>LEMBAR KERJA RENCANA DIMENSI STRUKTUR LATERAL TERHADAP GEMPA DENGAN ANALISIS MENGGUNAKAN PERANGKAT LUNAK RESIST 4.0</t>
        </is>
      </c>
    </row>
    <row r="3">
      <c r="A3" s="9" t="inlineStr">
        <is>
          <t>Nama Bangunan</t>
        </is>
      </c>
      <c r="B3" s="9" t="n"/>
      <c r="C3" s="18" t="inlineStr">
        <is>
          <t>:</t>
        </is>
      </c>
      <c r="D3" s="26" t="inlineStr">
        <is>
          <t>HA</t>
        </is>
      </c>
      <c r="E3" s="9" t="n"/>
      <c r="F3" s="9" t="n"/>
      <c r="H3" s="9" t="inlineStr">
        <is>
          <t>Jarak antar elemen X</t>
        </is>
      </c>
      <c r="I3" s="9" t="n"/>
      <c r="J3" s="9" t="n"/>
      <c r="K3" s="9" t="n"/>
      <c r="L3" s="17" t="inlineStr">
        <is>
          <t>:</t>
        </is>
      </c>
      <c r="M3" s="10" t="n">
        <v>0</v>
      </c>
    </row>
    <row r="4">
      <c r="A4" s="9" t="inlineStr">
        <is>
          <t>Lokasi</t>
        </is>
      </c>
      <c r="B4" s="9" t="n"/>
      <c r="C4" s="18" t="inlineStr">
        <is>
          <t>:</t>
        </is>
      </c>
      <c r="D4" s="26" t="inlineStr"/>
      <c r="E4" s="9" t="n"/>
      <c r="F4" s="9" t="n"/>
      <c r="H4" s="9" t="inlineStr">
        <is>
          <t>Jarak antar elemen Y</t>
        </is>
      </c>
      <c r="I4" s="9" t="n"/>
      <c r="J4" s="9" t="n"/>
      <c r="K4" s="9" t="n"/>
      <c r="L4" s="17" t="inlineStr">
        <is>
          <t>:</t>
        </is>
      </c>
      <c r="M4" s="10" t="n">
        <v>0</v>
      </c>
    </row>
    <row r="5">
      <c r="A5" s="9" t="inlineStr">
        <is>
          <t>GPA (batas nilai bawah)</t>
        </is>
      </c>
      <c r="B5" s="9" t="n"/>
      <c r="C5" s="18" t="inlineStr">
        <is>
          <t>:</t>
        </is>
      </c>
      <c r="D5" s="22" t="inlineStr">
        <is>
          <t>PGA 0.5</t>
        </is>
      </c>
      <c r="E5" s="9" t="n"/>
      <c r="F5" s="9" t="n"/>
      <c r="H5" s="10" t="n"/>
      <c r="I5" s="9" t="n"/>
      <c r="J5" s="9" t="n"/>
      <c r="K5" s="9" t="n"/>
      <c r="L5" s="10" t="n"/>
    </row>
    <row r="7" ht="14.5" customFormat="1" customHeight="1" s="7">
      <c r="A7" s="32" t="inlineStr">
        <is>
          <t>No. data</t>
        </is>
      </c>
      <c r="B7" s="33" t="inlineStr">
        <is>
          <t>Data Masukkan</t>
        </is>
      </c>
      <c r="C7" s="46" t="n"/>
      <c r="D7" s="46" t="n"/>
      <c r="E7" s="46" t="n"/>
      <c r="F7" s="46" t="n"/>
      <c r="G7" s="47" t="n"/>
      <c r="H7" s="33" t="inlineStr">
        <is>
          <t>Data Masukkan</t>
        </is>
      </c>
      <c r="I7" s="46" t="n"/>
      <c r="J7" s="46" t="n"/>
      <c r="K7" s="46" t="n"/>
      <c r="L7" s="47" t="n"/>
      <c r="M7" s="34" t="inlineStr">
        <is>
          <t>Hasil sumbu x</t>
        </is>
      </c>
      <c r="N7" s="46" t="n"/>
      <c r="O7" s="46" t="n"/>
      <c r="P7" s="46" t="n"/>
      <c r="Q7" s="46" t="n"/>
      <c r="R7" s="46" t="n"/>
      <c r="S7" s="46" t="n"/>
      <c r="T7" s="47" t="n"/>
      <c r="U7" s="36" t="inlineStr">
        <is>
          <t>Hasil sumbu y</t>
        </is>
      </c>
      <c r="V7" s="46" t="n"/>
      <c r="W7" s="46" t="n"/>
      <c r="X7" s="46" t="n"/>
      <c r="Y7" s="46" t="n"/>
      <c r="Z7" s="46" t="n"/>
      <c r="AA7" s="46" t="n"/>
      <c r="AB7" s="47" t="n"/>
    </row>
    <row r="8" customFormat="1" s="7">
      <c r="A8" s="48" t="n"/>
      <c r="B8" s="33" t="inlineStr">
        <is>
          <t>Sumbu X</t>
        </is>
      </c>
      <c r="C8" s="46" t="n"/>
      <c r="D8" s="46" t="n"/>
      <c r="E8" s="46" t="n"/>
      <c r="F8" s="46" t="n"/>
      <c r="G8" s="47" t="n"/>
      <c r="H8" s="33" t="inlineStr">
        <is>
          <t>Sumbu Y</t>
        </is>
      </c>
      <c r="I8" s="46" t="n"/>
      <c r="J8" s="46" t="n"/>
      <c r="K8" s="46" t="n"/>
      <c r="L8" s="47" t="n"/>
      <c r="M8" s="34" t="inlineStr">
        <is>
          <t>Earthquake (U) (%)</t>
        </is>
      </c>
      <c r="N8" s="46" t="n"/>
      <c r="O8" s="46" t="n"/>
      <c r="P8" s="47" t="n"/>
      <c r="Q8" s="38" t="inlineStr">
        <is>
          <t>Earthquake (S) (%)</t>
        </is>
      </c>
      <c r="R8" s="46" t="n"/>
      <c r="S8" s="46" t="n"/>
      <c r="T8" s="47" t="n"/>
      <c r="U8" s="36" t="inlineStr">
        <is>
          <t>Earthquake (U) (%)</t>
        </is>
      </c>
      <c r="V8" s="46" t="n"/>
      <c r="W8" s="46" t="n"/>
      <c r="X8" s="47" t="n"/>
      <c r="Y8" s="40" t="inlineStr">
        <is>
          <t>Earthquake (S) (%)</t>
        </is>
      </c>
      <c r="Z8" s="46" t="n"/>
      <c r="AA8" s="46" t="n"/>
      <c r="AB8" s="47" t="n"/>
    </row>
    <row r="9" ht="42" customFormat="1" customHeight="1" s="7">
      <c r="A9" s="49" t="n"/>
      <c r="B9" s="32" t="inlineStr">
        <is>
          <t>ID Gabungan</t>
        </is>
      </c>
      <c r="C9" s="45" t="inlineStr">
        <is>
          <t>Sumbu X</t>
        </is>
      </c>
      <c r="D9" s="46" t="n"/>
      <c r="E9" s="47" t="n"/>
      <c r="F9" s="44" t="inlineStr">
        <is>
          <t>ID</t>
        </is>
      </c>
      <c r="G9" s="33" t="inlineStr">
        <is>
          <t>Dimensi kolom x (cm)</t>
        </is>
      </c>
      <c r="H9" s="45" t="inlineStr">
        <is>
          <t>Sumbu Y</t>
        </is>
      </c>
      <c r="I9" s="46" t="n"/>
      <c r="J9" s="47" t="n"/>
      <c r="K9" s="45" t="inlineStr">
        <is>
          <t>ID</t>
        </is>
      </c>
      <c r="L9" s="33" t="inlineStr">
        <is>
          <t>Dimensi kolom x (cm)</t>
        </is>
      </c>
      <c r="M9" s="34" t="inlineStr">
        <is>
          <t>Shear (U)x</t>
        </is>
      </c>
      <c r="N9" s="34" t="inlineStr">
        <is>
          <t>Moment (U)x</t>
        </is>
      </c>
      <c r="O9" s="34" t="inlineStr">
        <is>
          <t>Drift (U)x</t>
        </is>
      </c>
      <c r="P9" s="34" t="inlineStr">
        <is>
          <t>Braced (U)x</t>
        </is>
      </c>
      <c r="Q9" s="38" t="inlineStr">
        <is>
          <t>Shear (S)x</t>
        </is>
      </c>
      <c r="R9" s="38" t="inlineStr">
        <is>
          <t>Moment (S)x</t>
        </is>
      </c>
      <c r="S9" s="38" t="inlineStr">
        <is>
          <t>Drift (S)x</t>
        </is>
      </c>
      <c r="T9" s="38" t="inlineStr">
        <is>
          <t>Braced (S)x</t>
        </is>
      </c>
      <c r="U9" s="36" t="inlineStr">
        <is>
          <t>Shear (U)y</t>
        </is>
      </c>
      <c r="V9" s="36" t="inlineStr">
        <is>
          <t>Moment (U)y</t>
        </is>
      </c>
      <c r="W9" s="36" t="inlineStr">
        <is>
          <t>Drift (U)y</t>
        </is>
      </c>
      <c r="X9" s="36" t="inlineStr">
        <is>
          <t>Braced (U)y</t>
        </is>
      </c>
      <c r="Y9" s="40" t="inlineStr">
        <is>
          <t>Shear (S)y</t>
        </is>
      </c>
      <c r="Z9" s="40" t="inlineStr">
        <is>
          <t>Moment (S)y</t>
        </is>
      </c>
      <c r="AA9" s="40" t="inlineStr">
        <is>
          <t>Drift (S)y</t>
        </is>
      </c>
      <c r="AB9" s="40" t="inlineStr">
        <is>
          <t>Braced (S)y</t>
        </is>
      </c>
    </row>
    <row r="10" ht="14.5" customFormat="1" customHeight="1" s="7">
      <c r="A10" s="32" t="n">
        <v>1</v>
      </c>
      <c r="B10" s="32">
        <f>"0.5 "&amp;F10&amp;"-"&amp;K10</f>
        <v/>
      </c>
      <c r="C10" s="4" t="inlineStr">
        <is>
          <t>BF</t>
        </is>
      </c>
      <c r="D10" s="4" t="inlineStr">
        <is>
          <t>CO</t>
        </is>
      </c>
      <c r="E10" s="4" t="inlineStr">
        <is>
          <t>ST</t>
        </is>
      </c>
      <c r="F10" s="32">
        <f>CONCATENATE(C10,D10,E10)</f>
        <v/>
      </c>
      <c r="G10" s="28" t="n"/>
      <c r="H10" s="4" t="inlineStr">
        <is>
          <t>BF</t>
        </is>
      </c>
      <c r="I10" s="4" t="inlineStr">
        <is>
          <t>CO</t>
        </is>
      </c>
      <c r="J10" s="4" t="inlineStr">
        <is>
          <t>ST</t>
        </is>
      </c>
      <c r="K10" s="32">
        <f>CONCATENATE(H10,I10,J10)</f>
        <v/>
      </c>
      <c r="L10" s="28" t="n"/>
      <c r="M10" s="29" t="n"/>
      <c r="N10" s="30" t="n"/>
      <c r="O10" s="29" t="n"/>
      <c r="P10" s="29" t="n"/>
      <c r="Q10" s="30" t="n"/>
      <c r="R10" s="30" t="n"/>
      <c r="S10" s="29" t="n"/>
      <c r="T10" s="29" t="n"/>
      <c r="U10" s="30" t="n"/>
      <c r="V10" s="30" t="n"/>
      <c r="W10" s="29" t="n"/>
      <c r="X10" s="29" t="n"/>
      <c r="Y10" s="30" t="n"/>
      <c r="Z10" s="30" t="n"/>
      <c r="AA10" s="29" t="n"/>
      <c r="AB10" s="29" t="n"/>
    </row>
    <row r="11" ht="14.5" customFormat="1" customHeight="1" s="7">
      <c r="A11" s="32" t="n">
        <v>2</v>
      </c>
      <c r="B11" s="32">
        <f>"0.5 "&amp;F11&amp;"-"&amp;K11</f>
        <v/>
      </c>
      <c r="C11" s="5" t="inlineStr">
        <is>
          <t>BF</t>
        </is>
      </c>
      <c r="D11" s="5" t="inlineStr">
        <is>
          <t>CT</t>
        </is>
      </c>
      <c r="E11" s="5" t="inlineStr">
        <is>
          <t>ST</t>
        </is>
      </c>
      <c r="F11" s="32">
        <f>CONCATENATE(C11,D11,E11)</f>
        <v/>
      </c>
      <c r="G11" s="28" t="n"/>
      <c r="H11" s="5" t="inlineStr">
        <is>
          <t>BF</t>
        </is>
      </c>
      <c r="I11" s="5" t="inlineStr">
        <is>
          <t>CT</t>
        </is>
      </c>
      <c r="J11" s="5" t="inlineStr">
        <is>
          <t>ST</t>
        </is>
      </c>
      <c r="K11" s="32">
        <f>CONCATENATE(H11,I11,J11)</f>
        <v/>
      </c>
      <c r="L11" s="28" t="n"/>
      <c r="M11" s="29" t="n"/>
      <c r="N11" s="30" t="n"/>
      <c r="O11" s="29" t="n"/>
      <c r="P11" s="29" t="n"/>
      <c r="Q11" s="30" t="n"/>
      <c r="R11" s="30" t="n"/>
      <c r="S11" s="29" t="n"/>
      <c r="T11" s="29" t="n"/>
      <c r="U11" s="30" t="n"/>
      <c r="V11" s="30" t="n"/>
      <c r="W11" s="29" t="n"/>
      <c r="X11" s="29" t="n"/>
      <c r="Y11" s="30" t="n"/>
      <c r="Z11" s="30" t="n"/>
      <c r="AA11" s="29" t="n"/>
      <c r="AB11" s="29" t="n"/>
    </row>
    <row r="12" ht="14.5" customFormat="1" customHeight="1" s="7">
      <c r="A12" s="32" t="n">
        <v>3</v>
      </c>
      <c r="B12" s="32">
        <f>"0.5 "&amp;F12&amp;"-"&amp;K12</f>
        <v/>
      </c>
      <c r="C12" s="6" t="inlineStr">
        <is>
          <t>BF</t>
        </is>
      </c>
      <c r="D12" s="6" t="inlineStr">
        <is>
          <t>EC</t>
        </is>
      </c>
      <c r="E12" s="6" t="inlineStr">
        <is>
          <t>ST</t>
        </is>
      </c>
      <c r="F12" s="32">
        <f>CONCATENATE(C12,D12,E12)</f>
        <v/>
      </c>
      <c r="G12" s="28" t="n"/>
      <c r="H12" s="6" t="inlineStr">
        <is>
          <t>BF</t>
        </is>
      </c>
      <c r="I12" s="6" t="inlineStr">
        <is>
          <t>EC</t>
        </is>
      </c>
      <c r="J12" s="6" t="inlineStr">
        <is>
          <t>ST</t>
        </is>
      </c>
      <c r="K12" s="32">
        <f>CONCATENATE(H12,I12,J12)</f>
        <v/>
      </c>
      <c r="L12" s="28" t="n"/>
      <c r="M12" s="29" t="n"/>
      <c r="N12" s="30" t="n"/>
      <c r="O12" s="29" t="n"/>
      <c r="P12" s="29" t="n"/>
      <c r="Q12" s="30" t="n"/>
      <c r="R12" s="30" t="n"/>
      <c r="S12" s="29" t="n"/>
      <c r="T12" s="29" t="n"/>
      <c r="U12" s="30" t="n"/>
      <c r="V12" s="30" t="n"/>
      <c r="W12" s="29" t="n"/>
      <c r="X12" s="29" t="n"/>
      <c r="Y12" s="30" t="n"/>
      <c r="Z12" s="30" t="n"/>
      <c r="AA12" s="29" t="n"/>
      <c r="AB12" s="29" t="n"/>
    </row>
    <row r="13" customFormat="1" s="7">
      <c r="A13" s="32" t="n">
        <v>4</v>
      </c>
      <c r="B13" s="32">
        <f>"0.5 "&amp;F13&amp;"-"&amp;K13</f>
        <v/>
      </c>
      <c r="C13" s="4" t="inlineStr">
        <is>
          <t>BF</t>
        </is>
      </c>
      <c r="D13" s="4" t="inlineStr">
        <is>
          <t>CO</t>
        </is>
      </c>
      <c r="E13" s="4" t="inlineStr">
        <is>
          <t>ST</t>
        </is>
      </c>
      <c r="F13" s="32">
        <f>CONCATENATE(C13,D13,E13)</f>
        <v/>
      </c>
      <c r="G13" s="28" t="n"/>
      <c r="H13" s="5" t="inlineStr">
        <is>
          <t>BF</t>
        </is>
      </c>
      <c r="I13" s="5" t="inlineStr">
        <is>
          <t>CT</t>
        </is>
      </c>
      <c r="J13" s="5" t="inlineStr">
        <is>
          <t>ST</t>
        </is>
      </c>
      <c r="K13" s="32">
        <f>CONCATENATE(H13,I13,J13)</f>
        <v/>
      </c>
      <c r="L13" s="28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</row>
    <row r="14" customFormat="1" s="7">
      <c r="A14" s="32" t="n">
        <v>5</v>
      </c>
      <c r="B14" s="32">
        <f>"0.5 "&amp;F14&amp;"-"&amp;K14</f>
        <v/>
      </c>
      <c r="C14" s="4" t="inlineStr">
        <is>
          <t>BF</t>
        </is>
      </c>
      <c r="D14" s="4" t="inlineStr">
        <is>
          <t>CO</t>
        </is>
      </c>
      <c r="E14" s="4" t="inlineStr">
        <is>
          <t>ST</t>
        </is>
      </c>
      <c r="F14" s="32">
        <f>CONCATENATE(C14,D14,E14)</f>
        <v/>
      </c>
      <c r="G14" s="28" t="n"/>
      <c r="H14" s="6" t="inlineStr">
        <is>
          <t>BF</t>
        </is>
      </c>
      <c r="I14" s="6" t="inlineStr">
        <is>
          <t>EC</t>
        </is>
      </c>
      <c r="J14" s="6" t="inlineStr">
        <is>
          <t>ST</t>
        </is>
      </c>
      <c r="K14" s="32">
        <f>CONCATENATE(H14,I14,J14)</f>
        <v/>
      </c>
      <c r="L14" s="28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</row>
    <row r="15" customFormat="1" s="7">
      <c r="A15" s="32" t="n">
        <v>6</v>
      </c>
      <c r="B15" s="32">
        <f>"0.5 "&amp;F15&amp;"-"&amp;K15</f>
        <v/>
      </c>
      <c r="C15" s="5" t="inlineStr">
        <is>
          <t>BF</t>
        </is>
      </c>
      <c r="D15" s="5" t="inlineStr">
        <is>
          <t>CT</t>
        </is>
      </c>
      <c r="E15" s="5" t="inlineStr">
        <is>
          <t>ST</t>
        </is>
      </c>
      <c r="F15" s="32">
        <f>CONCATENATE(C15,D15,E15)</f>
        <v/>
      </c>
      <c r="G15" s="28" t="n"/>
      <c r="H15" s="6" t="inlineStr">
        <is>
          <t>BF</t>
        </is>
      </c>
      <c r="I15" s="6" t="inlineStr">
        <is>
          <t>EC</t>
        </is>
      </c>
      <c r="J15" s="6" t="inlineStr">
        <is>
          <t>ST</t>
        </is>
      </c>
      <c r="K15" s="32">
        <f>CONCATENATE(H15,I15,J15)</f>
        <v/>
      </c>
      <c r="L15" s="28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</row>
    <row r="16" customFormat="1" s="7">
      <c r="A16" s="32" t="n">
        <v>7</v>
      </c>
      <c r="B16" s="32">
        <f>"0.5 "&amp;F16&amp;"-"&amp;K16</f>
        <v/>
      </c>
      <c r="C16" s="6" t="inlineStr">
        <is>
          <t>BF</t>
        </is>
      </c>
      <c r="D16" s="6" t="inlineStr">
        <is>
          <t>EC</t>
        </is>
      </c>
      <c r="E16" s="6" t="inlineStr">
        <is>
          <t>ST</t>
        </is>
      </c>
      <c r="F16" s="32">
        <f>CONCATENATE(C16,D16,E16)</f>
        <v/>
      </c>
      <c r="G16" s="28" t="n"/>
      <c r="H16" s="4" t="inlineStr">
        <is>
          <t>BF</t>
        </is>
      </c>
      <c r="I16" s="4" t="inlineStr">
        <is>
          <t>CO</t>
        </is>
      </c>
      <c r="J16" s="4" t="inlineStr">
        <is>
          <t>ST</t>
        </is>
      </c>
      <c r="K16" s="32">
        <f>CONCATENATE(H16,I16,J16)</f>
        <v/>
      </c>
      <c r="L16" s="28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</row>
    <row r="17" ht="14.5" customFormat="1" customHeight="1" s="7">
      <c r="A17" s="32" t="n">
        <v>8</v>
      </c>
      <c r="B17" s="32">
        <f>"0.5 "&amp;F17&amp;"-"&amp;K17</f>
        <v/>
      </c>
      <c r="C17" s="5" t="inlineStr">
        <is>
          <t>BF</t>
        </is>
      </c>
      <c r="D17" s="5" t="inlineStr">
        <is>
          <t>CT</t>
        </is>
      </c>
      <c r="E17" s="5" t="inlineStr">
        <is>
          <t>ST</t>
        </is>
      </c>
      <c r="F17" s="32">
        <f>CONCATENATE(C17,D17,E17)</f>
        <v/>
      </c>
      <c r="G17" s="28" t="n"/>
      <c r="H17" s="4" t="inlineStr">
        <is>
          <t>BF</t>
        </is>
      </c>
      <c r="I17" s="4" t="inlineStr">
        <is>
          <t>CO</t>
        </is>
      </c>
      <c r="J17" s="4" t="inlineStr">
        <is>
          <t>ST</t>
        </is>
      </c>
      <c r="K17" s="32">
        <f>CONCATENATE(H17,I17,J17)</f>
        <v/>
      </c>
      <c r="L17" s="28" t="n"/>
      <c r="M17" s="29" t="n"/>
      <c r="N17" s="30" t="n"/>
      <c r="O17" s="29" t="n"/>
      <c r="P17" s="29" t="n"/>
      <c r="Q17" s="30" t="n"/>
      <c r="R17" s="30" t="n"/>
      <c r="S17" s="29" t="n"/>
      <c r="T17" s="29" t="n"/>
      <c r="U17" s="30" t="n"/>
      <c r="V17" s="30" t="n"/>
      <c r="W17" s="29" t="n"/>
      <c r="X17" s="29" t="n"/>
      <c r="Y17" s="30" t="n"/>
      <c r="Z17" s="30" t="n"/>
      <c r="AA17" s="29" t="n"/>
      <c r="AB17" s="29" t="n"/>
    </row>
    <row r="18" customFormat="1" s="7">
      <c r="A18" s="32" t="n">
        <v>9</v>
      </c>
      <c r="B18" s="32">
        <f>"0.5 "&amp;F18&amp;"-"&amp;K18</f>
        <v/>
      </c>
      <c r="C18" s="6" t="inlineStr">
        <is>
          <t>BF</t>
        </is>
      </c>
      <c r="D18" s="6" t="inlineStr">
        <is>
          <t>EC</t>
        </is>
      </c>
      <c r="E18" s="6" t="inlineStr">
        <is>
          <t>ST</t>
        </is>
      </c>
      <c r="F18" s="32">
        <f>CONCATENATE(C18,D18,E18)</f>
        <v/>
      </c>
      <c r="G18" s="28" t="n"/>
      <c r="H18" s="5" t="inlineStr">
        <is>
          <t>BF</t>
        </is>
      </c>
      <c r="I18" s="5" t="inlineStr">
        <is>
          <t>CT</t>
        </is>
      </c>
      <c r="J18" s="5" t="inlineStr">
        <is>
          <t>ST</t>
        </is>
      </c>
      <c r="K18" s="32">
        <f>CONCATENATE(H18,I18,J18)</f>
        <v/>
      </c>
      <c r="L18" s="28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</row>
    <row r="19">
      <c r="L19" s="17" t="n"/>
    </row>
  </sheetData>
  <mergeCells count="14">
    <mergeCell ref="Y8:AB8"/>
    <mergeCell ref="M7:T7"/>
    <mergeCell ref="A7:A9"/>
    <mergeCell ref="U7:AB7"/>
    <mergeCell ref="H7:L7"/>
    <mergeCell ref="M8:P8"/>
    <mergeCell ref="Q8:T8"/>
    <mergeCell ref="U8:X8"/>
    <mergeCell ref="B8:G8"/>
    <mergeCell ref="C9:E9"/>
    <mergeCell ref="A1:AB1"/>
    <mergeCell ref="H9:J9"/>
    <mergeCell ref="H8:L8"/>
    <mergeCell ref="B7:G7"/>
  </mergeCells>
  <pageMargins left="0.7086614173228347" right="0.7086614173228347" top="0.7480314960629921" bottom="0.7480314960629921" header="0.3149606299212598" footer="0.3149606299212598"/>
  <pageSetup orientation="landscape" paperSize="9" scale="54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27" customWidth="1" min="4" max="4"/>
    <col width="12" customWidth="1" min="5" max="5"/>
    <col width="16" customWidth="1" min="6" max="6"/>
    <col width="12" customWidth="1" min="7" max="7"/>
    <col width="16" customWidth="1" min="8" max="8"/>
    <col width="12" customWidth="1" min="9" max="9"/>
    <col width="12" customWidth="1" min="10" max="10"/>
    <col width="12" customWidth="1" min="11" max="11"/>
    <col width="12" customWidth="1" min="12" max="12"/>
    <col width="13" customWidth="1" min="13" max="13"/>
    <col width="14" customWidth="1" min="14" max="14"/>
    <col width="13" customWidth="1" min="15" max="15"/>
    <col width="13" customWidth="1" min="16" max="16"/>
    <col width="13" customWidth="1" min="17" max="17"/>
    <col width="13" customWidth="1" min="18" max="18"/>
    <col width="35" customWidth="1" min="19" max="19"/>
  </cols>
  <sheetData>
    <row r="1">
      <c r="A1" s="50" t="inlineStr">
        <is>
          <t>RINGKASAN EFISIENSI HASIL RESIST</t>
        </is>
      </c>
    </row>
    <row r="2">
      <c r="A2" t="inlineStr">
        <is>
          <t>Batas drift</t>
        </is>
      </c>
      <c r="B2" s="51" t="n">
        <v>0.02</v>
      </c>
      <c r="D2" t="inlineStr">
        <is>
          <t>Kombinasi terbaik</t>
        </is>
      </c>
      <c r="E2" s="52" t="inlineStr">
        <is>
          <t>Belum ada kombinasi yang memenuhi seluruh kriteria.</t>
        </is>
      </c>
    </row>
    <row r="4">
      <c r="A4" s="53" t="inlineStr">
        <is>
          <t>Peringkat</t>
        </is>
      </c>
      <c r="B4" s="53" t="inlineStr">
        <is>
          <t>PGA</t>
        </is>
      </c>
      <c r="C4" s="53" t="inlineStr">
        <is>
          <t>No.</t>
        </is>
      </c>
      <c r="D4" s="53" t="inlineStr">
        <is>
          <t>Kombinasi</t>
        </is>
      </c>
      <c r="E4" s="53" t="inlineStr">
        <is>
          <t>ID X</t>
        </is>
      </c>
      <c r="F4" s="53" t="inlineStr">
        <is>
          <t>Dimensi X (cm)</t>
        </is>
      </c>
      <c r="G4" s="53" t="inlineStr">
        <is>
          <t>ID Y</t>
        </is>
      </c>
      <c r="H4" s="53" t="inlineStr">
        <is>
          <t>Dimensi Y (cm)</t>
        </is>
      </c>
      <c r="I4" s="53" t="inlineStr">
        <is>
          <t>Drift U-X</t>
        </is>
      </c>
      <c r="J4" s="53" t="inlineStr">
        <is>
          <t>Drift S-X</t>
        </is>
      </c>
      <c r="K4" s="53" t="inlineStr">
        <is>
          <t>Drift U-Y</t>
        </is>
      </c>
      <c r="L4" s="53" t="inlineStr">
        <is>
          <t>Drift S-Y</t>
        </is>
      </c>
      <c r="M4" s="53" t="inlineStr">
        <is>
          <t>Drift Maks.</t>
        </is>
      </c>
      <c r="N4" s="53" t="inlineStr">
        <is>
          <t>Skor Dimensi</t>
        </is>
      </c>
      <c r="O4" s="53" t="inlineStr">
        <is>
          <t>Braced U-X</t>
        </is>
      </c>
      <c r="P4" s="53" t="inlineStr">
        <is>
          <t>Braced S-X</t>
        </is>
      </c>
      <c r="Q4" s="53" t="inlineStr">
        <is>
          <t>Braced U-Y</t>
        </is>
      </c>
      <c r="R4" s="53" t="inlineStr">
        <is>
          <t>Braced S-Y</t>
        </is>
      </c>
      <c r="S4" s="53" t="inlineStr">
        <is>
          <t>Status/Catatan</t>
        </is>
      </c>
    </row>
    <row r="5">
      <c r="A5" s="54" t="inlineStr"/>
      <c r="B5" s="54" t="inlineStr">
        <is>
          <t>PGA 0,4</t>
        </is>
      </c>
      <c r="C5" s="54" t="n">
        <v>1</v>
      </c>
      <c r="D5" s="54">
        <f>"0.4 "&amp;F10&amp;"-"&amp;K10</f>
        <v/>
      </c>
      <c r="E5" s="54">
        <f>CONCATENATE(C10,D10,E10)</f>
        <v/>
      </c>
      <c r="F5" s="54" t="n"/>
      <c r="G5" s="54">
        <f>CONCATENATE(H10,I10,J10)</f>
        <v/>
      </c>
      <c r="H5" s="54" t="n"/>
      <c r="I5" s="55" t="n"/>
      <c r="J5" s="55" t="n"/>
      <c r="K5" s="55" t="n"/>
      <c r="L5" s="55" t="n"/>
      <c r="M5" s="55" t="n"/>
      <c r="N5" s="54" t="n"/>
      <c r="O5" s="54" t="n"/>
      <c r="P5" s="54" t="n"/>
      <c r="Q5" s="54" t="n"/>
      <c r="R5" s="54" t="n"/>
      <c r="S5" s="54" t="inlineStr">
        <is>
          <t>hasil drift belum lengkap; status braced belum lolos; dimensi belum lengkap</t>
        </is>
      </c>
    </row>
    <row r="6">
      <c r="A6" s="54" t="inlineStr"/>
      <c r="B6" s="54" t="inlineStr">
        <is>
          <t>PGA 0,4</t>
        </is>
      </c>
      <c r="C6" s="54" t="n">
        <v>2</v>
      </c>
      <c r="D6" s="54">
        <f>"0.4 "&amp;F11&amp;"-"&amp;K11</f>
        <v/>
      </c>
      <c r="E6" s="54">
        <f>CONCATENATE(C11,D11,E11)</f>
        <v/>
      </c>
      <c r="F6" s="54" t="n"/>
      <c r="G6" s="54">
        <f>CONCATENATE(H11,I11,J11)</f>
        <v/>
      </c>
      <c r="H6" s="54" t="n"/>
      <c r="I6" s="55" t="n"/>
      <c r="J6" s="55" t="n"/>
      <c r="K6" s="55" t="n"/>
      <c r="L6" s="55" t="n"/>
      <c r="M6" s="55" t="n"/>
      <c r="N6" s="54" t="n"/>
      <c r="O6" s="54" t="n"/>
      <c r="P6" s="54" t="n"/>
      <c r="Q6" s="54" t="n"/>
      <c r="R6" s="54" t="n"/>
      <c r="S6" s="54" t="inlineStr">
        <is>
          <t>hasil drift belum lengkap; status braced belum lolos; dimensi belum lengkap</t>
        </is>
      </c>
    </row>
    <row r="7">
      <c r="A7" s="54" t="inlineStr"/>
      <c r="B7" s="54" t="inlineStr">
        <is>
          <t>PGA 0,4</t>
        </is>
      </c>
      <c r="C7" s="54" t="n">
        <v>3</v>
      </c>
      <c r="D7" s="54">
        <f>"0.4 "&amp;F12&amp;"-"&amp;K12</f>
        <v/>
      </c>
      <c r="E7" s="54">
        <f>CONCATENATE(C12,D12,E12)</f>
        <v/>
      </c>
      <c r="F7" s="54" t="n"/>
      <c r="G7" s="54">
        <f>CONCATENATE(H12,I12,J12)</f>
        <v/>
      </c>
      <c r="H7" s="54" t="n"/>
      <c r="I7" s="55" t="n"/>
      <c r="J7" s="55" t="n"/>
      <c r="K7" s="55" t="n"/>
      <c r="L7" s="55" t="n"/>
      <c r="M7" s="55" t="n"/>
      <c r="N7" s="54" t="n"/>
      <c r="O7" s="54" t="n"/>
      <c r="P7" s="54" t="n"/>
      <c r="Q7" s="54" t="n"/>
      <c r="R7" s="54" t="n"/>
      <c r="S7" s="54" t="inlineStr">
        <is>
          <t>hasil drift belum lengkap; status braced belum lolos; dimensi belum lengkap</t>
        </is>
      </c>
    </row>
    <row r="8">
      <c r="A8" s="54" t="inlineStr"/>
      <c r="B8" s="54" t="inlineStr">
        <is>
          <t>PGA 0,4</t>
        </is>
      </c>
      <c r="C8" s="54" t="n">
        <v>4</v>
      </c>
      <c r="D8" s="54">
        <f>"0.4 "&amp;F13&amp;"-"&amp;K13</f>
        <v/>
      </c>
      <c r="E8" s="54">
        <f>CONCATENATE(C13,D13,E13)</f>
        <v/>
      </c>
      <c r="F8" s="54" t="n"/>
      <c r="G8" s="54">
        <f>CONCATENATE(H13,I13,J13)</f>
        <v/>
      </c>
      <c r="H8" s="54" t="n"/>
      <c r="I8" s="55" t="n"/>
      <c r="J8" s="55" t="n"/>
      <c r="K8" s="55" t="n"/>
      <c r="L8" s="55" t="n"/>
      <c r="M8" s="55" t="n"/>
      <c r="N8" s="54" t="n"/>
      <c r="O8" s="54" t="n"/>
      <c r="P8" s="54" t="n"/>
      <c r="Q8" s="54" t="n"/>
      <c r="R8" s="54" t="n"/>
      <c r="S8" s="54" t="inlineStr">
        <is>
          <t>hasil drift belum lengkap; status braced belum lolos; dimensi belum lengkap</t>
        </is>
      </c>
    </row>
    <row r="9">
      <c r="A9" s="54" t="inlineStr"/>
      <c r="B9" s="54" t="inlineStr">
        <is>
          <t>PGA 0,4</t>
        </is>
      </c>
      <c r="C9" s="54" t="n">
        <v>5</v>
      </c>
      <c r="D9" s="54">
        <f>"0.4 "&amp;F14&amp;"-"&amp;K14</f>
        <v/>
      </c>
      <c r="E9" s="54">
        <f>CONCATENATE(C14,D14,E14)</f>
        <v/>
      </c>
      <c r="F9" s="54" t="n"/>
      <c r="G9" s="54">
        <f>CONCATENATE(H14,I14,J14)</f>
        <v/>
      </c>
      <c r="H9" s="54" t="n"/>
      <c r="I9" s="55" t="n"/>
      <c r="J9" s="55" t="n"/>
      <c r="K9" s="55" t="n"/>
      <c r="L9" s="55" t="n"/>
      <c r="M9" s="55" t="n"/>
      <c r="N9" s="54" t="n"/>
      <c r="O9" s="54" t="n"/>
      <c r="P9" s="54" t="n"/>
      <c r="Q9" s="54" t="n"/>
      <c r="R9" s="54" t="n"/>
      <c r="S9" s="54" t="inlineStr">
        <is>
          <t>hasil drift belum lengkap; status braced belum lolos; dimensi belum lengkap</t>
        </is>
      </c>
    </row>
    <row r="10">
      <c r="A10" s="54" t="inlineStr"/>
      <c r="B10" s="54" t="inlineStr">
        <is>
          <t>PGA 0,4</t>
        </is>
      </c>
      <c r="C10" s="54" t="n">
        <v>6</v>
      </c>
      <c r="D10" s="54">
        <f>"0.4 "&amp;F15&amp;"-"&amp;K15</f>
        <v/>
      </c>
      <c r="E10" s="54">
        <f>CONCATENATE(C15,D15,E15)</f>
        <v/>
      </c>
      <c r="F10" s="54" t="n"/>
      <c r="G10" s="54">
        <f>CONCATENATE(H15,I15,J15)</f>
        <v/>
      </c>
      <c r="H10" s="54" t="n"/>
      <c r="I10" s="55" t="n"/>
      <c r="J10" s="55" t="n"/>
      <c r="K10" s="55" t="n"/>
      <c r="L10" s="55" t="n"/>
      <c r="M10" s="55" t="n"/>
      <c r="N10" s="54" t="n"/>
      <c r="O10" s="54" t="n"/>
      <c r="P10" s="54" t="n"/>
      <c r="Q10" s="54" t="n"/>
      <c r="R10" s="54" t="n"/>
      <c r="S10" s="54" t="inlineStr">
        <is>
          <t>hasil drift belum lengkap; status braced belum lolos; dimensi belum lengkap</t>
        </is>
      </c>
    </row>
    <row r="11">
      <c r="A11" s="54" t="inlineStr"/>
      <c r="B11" s="54" t="inlineStr">
        <is>
          <t>PGA 0,4</t>
        </is>
      </c>
      <c r="C11" s="54" t="n">
        <v>7</v>
      </c>
      <c r="D11" s="54">
        <f>"0.4 "&amp;F16&amp;"-"&amp;K16</f>
        <v/>
      </c>
      <c r="E11" s="54">
        <f>CONCATENATE(C16,D16,E16)</f>
        <v/>
      </c>
      <c r="F11" s="54" t="n"/>
      <c r="G11" s="54">
        <f>CONCATENATE(H16,I16,J16)</f>
        <v/>
      </c>
      <c r="H11" s="54" t="n"/>
      <c r="I11" s="55" t="n"/>
      <c r="J11" s="55" t="n"/>
      <c r="K11" s="55" t="n"/>
      <c r="L11" s="55" t="n"/>
      <c r="M11" s="55" t="n"/>
      <c r="N11" s="54" t="n"/>
      <c r="O11" s="54" t="n"/>
      <c r="P11" s="54" t="n"/>
      <c r="Q11" s="54" t="n"/>
      <c r="R11" s="54" t="n"/>
      <c r="S11" s="54" t="inlineStr">
        <is>
          <t>hasil drift belum lengkap; status braced belum lolos; dimensi belum lengkap</t>
        </is>
      </c>
    </row>
    <row r="12">
      <c r="A12" s="54" t="inlineStr"/>
      <c r="B12" s="54" t="inlineStr">
        <is>
          <t>PGA 0,4</t>
        </is>
      </c>
      <c r="C12" s="54" t="n">
        <v>8</v>
      </c>
      <c r="D12" s="54">
        <f>"0.4 "&amp;F17&amp;"-"&amp;K17</f>
        <v/>
      </c>
      <c r="E12" s="54">
        <f>CONCATENATE(C17,D17,E17)</f>
        <v/>
      </c>
      <c r="F12" s="54" t="n"/>
      <c r="G12" s="54">
        <f>CONCATENATE(H17,I17,J17)</f>
        <v/>
      </c>
      <c r="H12" s="54" t="n"/>
      <c r="I12" s="55" t="n"/>
      <c r="J12" s="55" t="n"/>
      <c r="K12" s="55" t="n"/>
      <c r="L12" s="55" t="n"/>
      <c r="M12" s="55" t="n"/>
      <c r="N12" s="54" t="n"/>
      <c r="O12" s="54" t="n"/>
      <c r="P12" s="54" t="n"/>
      <c r="Q12" s="54" t="n"/>
      <c r="R12" s="54" t="n"/>
      <c r="S12" s="54" t="inlineStr">
        <is>
          <t>hasil drift belum lengkap; status braced belum lolos; dimensi belum lengkap</t>
        </is>
      </c>
    </row>
    <row r="13">
      <c r="A13" s="54" t="inlineStr"/>
      <c r="B13" s="54" t="inlineStr">
        <is>
          <t>PGA 0,4</t>
        </is>
      </c>
      <c r="C13" s="54" t="n">
        <v>9</v>
      </c>
      <c r="D13" s="54">
        <f>"0.4 "&amp;F18&amp;"-"&amp;K18</f>
        <v/>
      </c>
      <c r="E13" s="54">
        <f>CONCATENATE(C18,D18,E18)</f>
        <v/>
      </c>
      <c r="F13" s="54" t="n"/>
      <c r="G13" s="54">
        <f>CONCATENATE(H18,I18,J18)</f>
        <v/>
      </c>
      <c r="H13" s="54" t="n"/>
      <c r="I13" s="55" t="n"/>
      <c r="J13" s="55" t="n"/>
      <c r="K13" s="55" t="n"/>
      <c r="L13" s="55" t="n"/>
      <c r="M13" s="55" t="n"/>
      <c r="N13" s="54" t="n"/>
      <c r="O13" s="54" t="n"/>
      <c r="P13" s="54" t="n"/>
      <c r="Q13" s="54" t="n"/>
      <c r="R13" s="54" t="n"/>
      <c r="S13" s="54" t="inlineStr">
        <is>
          <t>hasil drift belum lengkap; status braced belum lolos; dimensi belum lengkap</t>
        </is>
      </c>
    </row>
    <row r="14">
      <c r="A14" s="54" t="inlineStr"/>
      <c r="B14" s="54" t="inlineStr">
        <is>
          <t>PGA 0,5</t>
        </is>
      </c>
      <c r="C14" s="54" t="n">
        <v>1</v>
      </c>
      <c r="D14" s="54">
        <f>"0.5 "&amp;F10&amp;"-"&amp;K10</f>
        <v/>
      </c>
      <c r="E14" s="54">
        <f>CONCATENATE(C10,D10,E10)</f>
        <v/>
      </c>
      <c r="F14" s="54" t="n"/>
      <c r="G14" s="54">
        <f>CONCATENATE(H10,I10,J10)</f>
        <v/>
      </c>
      <c r="H14" s="54" t="n"/>
      <c r="I14" s="55" t="n"/>
      <c r="J14" s="55" t="n"/>
      <c r="K14" s="55" t="n"/>
      <c r="L14" s="55" t="n"/>
      <c r="M14" s="55" t="n"/>
      <c r="N14" s="54" t="n"/>
      <c r="O14" s="54" t="n"/>
      <c r="P14" s="54" t="n"/>
      <c r="Q14" s="54" t="n"/>
      <c r="R14" s="54" t="n"/>
      <c r="S14" s="54" t="inlineStr">
        <is>
          <t>hasil drift belum lengkap; status braced belum lolos; dimensi belum lengkap</t>
        </is>
      </c>
    </row>
    <row r="15">
      <c r="A15" s="54" t="inlineStr"/>
      <c r="B15" s="54" t="inlineStr">
        <is>
          <t>PGA 0,5</t>
        </is>
      </c>
      <c r="C15" s="54" t="n">
        <v>2</v>
      </c>
      <c r="D15" s="54">
        <f>"0.5 "&amp;F11&amp;"-"&amp;K11</f>
        <v/>
      </c>
      <c r="E15" s="54">
        <f>CONCATENATE(C11,D11,E11)</f>
        <v/>
      </c>
      <c r="F15" s="54" t="n"/>
      <c r="G15" s="54">
        <f>CONCATENATE(H11,I11,J11)</f>
        <v/>
      </c>
      <c r="H15" s="54" t="n"/>
      <c r="I15" s="55" t="n"/>
      <c r="J15" s="55" t="n"/>
      <c r="K15" s="55" t="n"/>
      <c r="L15" s="55" t="n"/>
      <c r="M15" s="55" t="n"/>
      <c r="N15" s="54" t="n"/>
      <c r="O15" s="54" t="n"/>
      <c r="P15" s="54" t="n"/>
      <c r="Q15" s="54" t="n"/>
      <c r="R15" s="54" t="n"/>
      <c r="S15" s="54" t="inlineStr">
        <is>
          <t>hasil drift belum lengkap; status braced belum lolos; dimensi belum lengkap</t>
        </is>
      </c>
    </row>
    <row r="16">
      <c r="A16" s="54" t="inlineStr"/>
      <c r="B16" s="54" t="inlineStr">
        <is>
          <t>PGA 0,5</t>
        </is>
      </c>
      <c r="C16" s="54" t="n">
        <v>3</v>
      </c>
      <c r="D16" s="54">
        <f>"0.5 "&amp;F12&amp;"-"&amp;K12</f>
        <v/>
      </c>
      <c r="E16" s="54">
        <f>CONCATENATE(C12,D12,E12)</f>
        <v/>
      </c>
      <c r="F16" s="54" t="n"/>
      <c r="G16" s="54">
        <f>CONCATENATE(H12,I12,J12)</f>
        <v/>
      </c>
      <c r="H16" s="54" t="n"/>
      <c r="I16" s="55" t="n"/>
      <c r="J16" s="55" t="n"/>
      <c r="K16" s="55" t="n"/>
      <c r="L16" s="55" t="n"/>
      <c r="M16" s="55" t="n"/>
      <c r="N16" s="54" t="n"/>
      <c r="O16" s="54" t="n"/>
      <c r="P16" s="54" t="n"/>
      <c r="Q16" s="54" t="n"/>
      <c r="R16" s="54" t="n"/>
      <c r="S16" s="54" t="inlineStr">
        <is>
          <t>hasil drift belum lengkap; status braced belum lolos; dimensi belum lengkap</t>
        </is>
      </c>
    </row>
    <row r="17">
      <c r="A17" s="54" t="inlineStr"/>
      <c r="B17" s="54" t="inlineStr">
        <is>
          <t>PGA 0,5</t>
        </is>
      </c>
      <c r="C17" s="54" t="n">
        <v>4</v>
      </c>
      <c r="D17" s="54">
        <f>"0.5 "&amp;F13&amp;"-"&amp;K13</f>
        <v/>
      </c>
      <c r="E17" s="54">
        <f>CONCATENATE(C13,D13,E13)</f>
        <v/>
      </c>
      <c r="F17" s="54" t="n"/>
      <c r="G17" s="54">
        <f>CONCATENATE(H13,I13,J13)</f>
        <v/>
      </c>
      <c r="H17" s="54" t="n"/>
      <c r="I17" s="55" t="n"/>
      <c r="J17" s="55" t="n"/>
      <c r="K17" s="55" t="n"/>
      <c r="L17" s="55" t="n"/>
      <c r="M17" s="55" t="n"/>
      <c r="N17" s="54" t="n"/>
      <c r="O17" s="54" t="n"/>
      <c r="P17" s="54" t="n"/>
      <c r="Q17" s="54" t="n"/>
      <c r="R17" s="54" t="n"/>
      <c r="S17" s="54" t="inlineStr">
        <is>
          <t>hasil drift belum lengkap; status braced belum lolos; dimensi belum lengkap</t>
        </is>
      </c>
    </row>
    <row r="18">
      <c r="A18" s="54" t="inlineStr"/>
      <c r="B18" s="54" t="inlineStr">
        <is>
          <t>PGA 0,5</t>
        </is>
      </c>
      <c r="C18" s="54" t="n">
        <v>5</v>
      </c>
      <c r="D18" s="54">
        <f>"0.5 "&amp;F14&amp;"-"&amp;K14</f>
        <v/>
      </c>
      <c r="E18" s="54">
        <f>CONCATENATE(C14,D14,E14)</f>
        <v/>
      </c>
      <c r="F18" s="54" t="n"/>
      <c r="G18" s="54">
        <f>CONCATENATE(H14,I14,J14)</f>
        <v/>
      </c>
      <c r="H18" s="54" t="n"/>
      <c r="I18" s="55" t="n"/>
      <c r="J18" s="55" t="n"/>
      <c r="K18" s="55" t="n"/>
      <c r="L18" s="55" t="n"/>
      <c r="M18" s="55" t="n"/>
      <c r="N18" s="54" t="n"/>
      <c r="O18" s="54" t="n"/>
      <c r="P18" s="54" t="n"/>
      <c r="Q18" s="54" t="n"/>
      <c r="R18" s="54" t="n"/>
      <c r="S18" s="54" t="inlineStr">
        <is>
          <t>hasil drift belum lengkap; status braced belum lolos; dimensi belum lengkap</t>
        </is>
      </c>
    </row>
    <row r="19">
      <c r="A19" s="54" t="inlineStr"/>
      <c r="B19" s="54" t="inlineStr">
        <is>
          <t>PGA 0,5</t>
        </is>
      </c>
      <c r="C19" s="54" t="n">
        <v>6</v>
      </c>
      <c r="D19" s="54">
        <f>"0.5 "&amp;F15&amp;"-"&amp;K15</f>
        <v/>
      </c>
      <c r="E19" s="54">
        <f>CONCATENATE(C15,D15,E15)</f>
        <v/>
      </c>
      <c r="F19" s="54" t="n"/>
      <c r="G19" s="54">
        <f>CONCATENATE(H15,I15,J15)</f>
        <v/>
      </c>
      <c r="H19" s="54" t="n"/>
      <c r="I19" s="55" t="n"/>
      <c r="J19" s="55" t="n"/>
      <c r="K19" s="55" t="n"/>
      <c r="L19" s="55" t="n"/>
      <c r="M19" s="55" t="n"/>
      <c r="N19" s="54" t="n"/>
      <c r="O19" s="54" t="n"/>
      <c r="P19" s="54" t="n"/>
      <c r="Q19" s="54" t="n"/>
      <c r="R19" s="54" t="n"/>
      <c r="S19" s="54" t="inlineStr">
        <is>
          <t>hasil drift belum lengkap; status braced belum lolos; dimensi belum lengkap</t>
        </is>
      </c>
    </row>
    <row r="20">
      <c r="A20" s="54" t="inlineStr"/>
      <c r="B20" s="54" t="inlineStr">
        <is>
          <t>PGA 0,5</t>
        </is>
      </c>
      <c r="C20" s="54" t="n">
        <v>7</v>
      </c>
      <c r="D20" s="54">
        <f>"0.5 "&amp;F16&amp;"-"&amp;K16</f>
        <v/>
      </c>
      <c r="E20" s="54">
        <f>CONCATENATE(C16,D16,E16)</f>
        <v/>
      </c>
      <c r="F20" s="54" t="n"/>
      <c r="G20" s="54">
        <f>CONCATENATE(H16,I16,J16)</f>
        <v/>
      </c>
      <c r="H20" s="54" t="n"/>
      <c r="I20" s="55" t="n"/>
      <c r="J20" s="55" t="n"/>
      <c r="K20" s="55" t="n"/>
      <c r="L20" s="55" t="n"/>
      <c r="M20" s="55" t="n"/>
      <c r="N20" s="54" t="n"/>
      <c r="O20" s="54" t="n"/>
      <c r="P20" s="54" t="n"/>
      <c r="Q20" s="54" t="n"/>
      <c r="R20" s="54" t="n"/>
      <c r="S20" s="54" t="inlineStr">
        <is>
          <t>hasil drift belum lengkap; status braced belum lolos; dimensi belum lengkap</t>
        </is>
      </c>
    </row>
    <row r="21">
      <c r="A21" s="54" t="inlineStr"/>
      <c r="B21" s="54" t="inlineStr">
        <is>
          <t>PGA 0,5</t>
        </is>
      </c>
      <c r="C21" s="54" t="n">
        <v>8</v>
      </c>
      <c r="D21" s="54">
        <f>"0.5 "&amp;F17&amp;"-"&amp;K17</f>
        <v/>
      </c>
      <c r="E21" s="54">
        <f>CONCATENATE(C17,D17,E17)</f>
        <v/>
      </c>
      <c r="F21" s="54" t="n"/>
      <c r="G21" s="54">
        <f>CONCATENATE(H17,I17,J17)</f>
        <v/>
      </c>
      <c r="H21" s="54" t="n"/>
      <c r="I21" s="55" t="n"/>
      <c r="J21" s="55" t="n"/>
      <c r="K21" s="55" t="n"/>
      <c r="L21" s="55" t="n"/>
      <c r="M21" s="55" t="n"/>
      <c r="N21" s="54" t="n"/>
      <c r="O21" s="54" t="n"/>
      <c r="P21" s="54" t="n"/>
      <c r="Q21" s="54" t="n"/>
      <c r="R21" s="54" t="n"/>
      <c r="S21" s="54" t="inlineStr">
        <is>
          <t>hasil drift belum lengkap; status braced belum lolos; dimensi belum lengkap</t>
        </is>
      </c>
    </row>
    <row r="22">
      <c r="A22" s="54" t="inlineStr"/>
      <c r="B22" s="54" t="inlineStr">
        <is>
          <t>PGA 0,5</t>
        </is>
      </c>
      <c r="C22" s="54" t="n">
        <v>9</v>
      </c>
      <c r="D22" s="54">
        <f>"0.5 "&amp;F18&amp;"-"&amp;K18</f>
        <v/>
      </c>
      <c r="E22" s="54">
        <f>CONCATENATE(C18,D18,E18)</f>
        <v/>
      </c>
      <c r="F22" s="54" t="n"/>
      <c r="G22" s="54">
        <f>CONCATENATE(H18,I18,J18)</f>
        <v/>
      </c>
      <c r="H22" s="54" t="n"/>
      <c r="I22" s="55" t="n"/>
      <c r="J22" s="55" t="n"/>
      <c r="K22" s="55" t="n"/>
      <c r="L22" s="55" t="n"/>
      <c r="M22" s="55" t="n"/>
      <c r="N22" s="54" t="n"/>
      <c r="O22" s="54" t="n"/>
      <c r="P22" s="54" t="n"/>
      <c r="Q22" s="54" t="n"/>
      <c r="R22" s="54" t="n"/>
      <c r="S22" s="54" t="inlineStr">
        <is>
          <t>hasil drift belum lengkap; status braced belum lolos; dimensi belum lengkap</t>
        </is>
      </c>
    </row>
  </sheetData>
  <autoFilter ref="A4:S22"/>
  <mergeCells count="1"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Intan Findanavy</dc:creator>
  <dcterms:created xsi:type="dcterms:W3CDTF">2025-02-04T04:55:39Z</dcterms:created>
  <dcterms:modified xsi:type="dcterms:W3CDTF">2026-07-14T14:03:55Z</dcterms:modified>
  <cp:lastModifiedBy>lenovolegion.hmdx@outlook.com</cp:lastModifiedBy>
  <cp:lastPrinted>2025-10-12T07:16:01Z</cp:lastPrinted>
</cp:coreProperties>
</file>