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FILE SEMESTER 4\TEKNOLOGI BANGUNAN RENDAH\"/>
    </mc:Choice>
  </mc:AlternateContent>
  <xr:revisionPtr revIDLastSave="0" documentId="13_ncr:1_{12A9E20C-B09D-445A-B6D2-3F9E7B6386A0}" xr6:coauthVersionLast="47" xr6:coauthVersionMax="47" xr10:uidLastSave="{00000000-0000-0000-0000-000000000000}"/>
  <bookViews>
    <workbookView xWindow="-110" yWindow="-110" windowWidth="25820" windowHeight="15500" activeTab="1" xr2:uid="{06793BE1-2AEB-4BCB-BD77-2F514C72823A}"/>
  </bookViews>
  <sheets>
    <sheet name="Sheet1" sheetId="4" r:id="rId1"/>
    <sheet name="PGA 0,4" sheetId="5" r:id="rId2"/>
    <sheet name="PGA 0,5" sheetId="3" r:id="rId3"/>
  </sheets>
  <definedNames>
    <definedName name="_xlnm.Print_Area" localSheetId="1">'PGA 0,4'!$A$1:$AB$18</definedName>
    <definedName name="_xlnm.Print_Area" localSheetId="2">'PGA 0,5'!$A$1:$AB$18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5" l="1"/>
  <c r="F18" i="5"/>
  <c r="K17" i="5"/>
  <c r="F17" i="5"/>
  <c r="B17" i="5" s="1"/>
  <c r="K16" i="5"/>
  <c r="F16" i="5"/>
  <c r="B16" i="5" s="1"/>
  <c r="K15" i="5"/>
  <c r="F15" i="5"/>
  <c r="B15" i="5" s="1"/>
  <c r="K14" i="5"/>
  <c r="F14" i="5"/>
  <c r="K13" i="5"/>
  <c r="F13" i="5"/>
  <c r="B13" i="5" s="1"/>
  <c r="K12" i="5"/>
  <c r="F12" i="5"/>
  <c r="B12" i="5" s="1"/>
  <c r="K11" i="5"/>
  <c r="F11" i="5"/>
  <c r="K10" i="5"/>
  <c r="F10" i="5"/>
  <c r="B10" i="5" s="1"/>
  <c r="K17" i="3"/>
  <c r="F17" i="3"/>
  <c r="B17" i="3" s="1"/>
  <c r="K18" i="3"/>
  <c r="F18" i="3"/>
  <c r="B18" i="3" s="1"/>
  <c r="K16" i="3"/>
  <c r="F16" i="3"/>
  <c r="B16" i="3" s="1"/>
  <c r="K15" i="3"/>
  <c r="F15" i="3"/>
  <c r="B15" i="3" s="1"/>
  <c r="K14" i="3"/>
  <c r="F14" i="3"/>
  <c r="B14" i="3" s="1"/>
  <c r="K13" i="3"/>
  <c r="F13" i="3"/>
  <c r="B13" i="3" s="1"/>
  <c r="K12" i="3"/>
  <c r="F12" i="3"/>
  <c r="B12" i="3" s="1"/>
  <c r="K11" i="3"/>
  <c r="F11" i="3"/>
  <c r="B11" i="3" s="1"/>
  <c r="K10" i="3"/>
  <c r="F10" i="3"/>
  <c r="B10" i="3" s="1"/>
  <c r="D4" i="4"/>
  <c r="B14" i="5" l="1"/>
  <c r="B18" i="5"/>
  <c r="B11" i="5"/>
</calcChain>
</file>

<file path=xl/sharedStrings.xml><?xml version="1.0" encoding="utf-8"?>
<sst xmlns="http://schemas.openxmlformats.org/spreadsheetml/2006/main" count="208" uniqueCount="48">
  <si>
    <t>ST</t>
  </si>
  <si>
    <t>BF</t>
  </si>
  <si>
    <t>CO</t>
  </si>
  <si>
    <t>CT</t>
  </si>
  <si>
    <t>EC</t>
  </si>
  <si>
    <t>Sumbu X</t>
  </si>
  <si>
    <t>Sumbu Y</t>
  </si>
  <si>
    <t>Nama Bangunan</t>
  </si>
  <si>
    <t>Lokasi</t>
  </si>
  <si>
    <t>GPA (batas nilai bawah)</t>
  </si>
  <si>
    <t>Data Masukkan</t>
  </si>
  <si>
    <t>Hasil sumbu x</t>
  </si>
  <si>
    <t>Earthquake (U) (%)</t>
  </si>
  <si>
    <t>Earthquake (S) (%)</t>
  </si>
  <si>
    <t>Dimensi kolom x (cm)</t>
  </si>
  <si>
    <t>No. data</t>
  </si>
  <si>
    <r>
      <t>Shear (U)</t>
    </r>
    <r>
      <rPr>
        <vertAlign val="subscript"/>
        <sz val="11"/>
        <color theme="1"/>
        <rFont val="Times New Roman"/>
        <family val="1"/>
      </rPr>
      <t>x</t>
    </r>
  </si>
  <si>
    <r>
      <t>Moment (U)</t>
    </r>
    <r>
      <rPr>
        <vertAlign val="subscript"/>
        <sz val="11"/>
        <color theme="1"/>
        <rFont val="Times New Roman"/>
        <family val="1"/>
      </rPr>
      <t>x</t>
    </r>
  </si>
  <si>
    <r>
      <t>Drift (U)</t>
    </r>
    <r>
      <rPr>
        <vertAlign val="subscript"/>
        <sz val="11"/>
        <color theme="1"/>
        <rFont val="Times New Roman"/>
        <family val="1"/>
      </rPr>
      <t>x</t>
    </r>
  </si>
  <si>
    <r>
      <t>Braced (U)</t>
    </r>
    <r>
      <rPr>
        <vertAlign val="subscript"/>
        <sz val="11"/>
        <color theme="1"/>
        <rFont val="Times New Roman"/>
        <family val="1"/>
      </rPr>
      <t>x</t>
    </r>
  </si>
  <si>
    <r>
      <t>Shear (S)</t>
    </r>
    <r>
      <rPr>
        <vertAlign val="subscript"/>
        <sz val="11"/>
        <color theme="1"/>
        <rFont val="Times New Roman"/>
        <family val="1"/>
      </rPr>
      <t>x</t>
    </r>
  </si>
  <si>
    <r>
      <t>Moment (S)</t>
    </r>
    <r>
      <rPr>
        <vertAlign val="subscript"/>
        <sz val="11"/>
        <color theme="1"/>
        <rFont val="Times New Roman"/>
        <family val="1"/>
      </rPr>
      <t>x</t>
    </r>
  </si>
  <si>
    <r>
      <t>Drift (S)</t>
    </r>
    <r>
      <rPr>
        <vertAlign val="subscript"/>
        <sz val="11"/>
        <color theme="1"/>
        <rFont val="Times New Roman"/>
        <family val="1"/>
      </rPr>
      <t>x</t>
    </r>
  </si>
  <si>
    <r>
      <t>Braced (S)</t>
    </r>
    <r>
      <rPr>
        <vertAlign val="subscript"/>
        <sz val="11"/>
        <color theme="1"/>
        <rFont val="Times New Roman"/>
        <family val="1"/>
      </rPr>
      <t>x</t>
    </r>
  </si>
  <si>
    <t>LEMBAR KERJA RENCANA DIMENSI STRUKTUR LATERAL TERHADAP GEMPA DENGAN ANALISIS MENGGUNAKAN PERANGKAT LUNAK RESIST 4.0</t>
  </si>
  <si>
    <t>HA</t>
  </si>
  <si>
    <t>Hasil sumbu y</t>
  </si>
  <si>
    <r>
      <t>Shear (U)</t>
    </r>
    <r>
      <rPr>
        <vertAlign val="subscript"/>
        <sz val="11"/>
        <color theme="1"/>
        <rFont val="Times New Roman"/>
        <family val="1"/>
      </rPr>
      <t>y</t>
    </r>
  </si>
  <si>
    <t>Moment (U)y</t>
  </si>
  <si>
    <r>
      <t>Drift (U)</t>
    </r>
    <r>
      <rPr>
        <vertAlign val="subscript"/>
        <sz val="11"/>
        <color theme="1"/>
        <rFont val="Times New Roman"/>
        <family val="1"/>
      </rPr>
      <t>y</t>
    </r>
  </si>
  <si>
    <r>
      <t>Braced (U)</t>
    </r>
    <r>
      <rPr>
        <vertAlign val="subscript"/>
        <sz val="11"/>
        <color theme="1"/>
        <rFont val="Times New Roman"/>
        <family val="1"/>
      </rPr>
      <t>y</t>
    </r>
  </si>
  <si>
    <r>
      <t>Moment (S)</t>
    </r>
    <r>
      <rPr>
        <vertAlign val="subscript"/>
        <sz val="11"/>
        <color theme="1"/>
        <rFont val="Times New Roman"/>
        <family val="1"/>
      </rPr>
      <t>y</t>
    </r>
  </si>
  <si>
    <r>
      <t>Drift (S)</t>
    </r>
    <r>
      <rPr>
        <vertAlign val="subscript"/>
        <sz val="11"/>
        <color theme="1"/>
        <rFont val="Times New Roman"/>
        <family val="1"/>
      </rPr>
      <t>y</t>
    </r>
  </si>
  <si>
    <r>
      <t>Braced (S)</t>
    </r>
    <r>
      <rPr>
        <vertAlign val="subscript"/>
        <sz val="11"/>
        <color theme="1"/>
        <rFont val="Times New Roman"/>
        <family val="1"/>
      </rPr>
      <t>y</t>
    </r>
  </si>
  <si>
    <t>Jarak antar elemen X</t>
  </si>
  <si>
    <t>Jarak antar elemen Y</t>
  </si>
  <si>
    <t>Tinggi floor-to-floor</t>
  </si>
  <si>
    <t>ID</t>
  </si>
  <si>
    <t>ID Gabungan</t>
  </si>
  <si>
    <t>:</t>
  </si>
  <si>
    <t>PGA 0.5</t>
  </si>
  <si>
    <t>PGA 0.4</t>
  </si>
  <si>
    <t>Shear (S)y</t>
  </si>
  <si>
    <t>Panjang sisi depan bangunan (x) dalam meter</t>
  </si>
  <si>
    <t>Panjang sisi samping bangunan (y) dalam meter</t>
  </si>
  <si>
    <r>
      <t>Ketinggian atap (sudut miring atap 30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)</t>
    </r>
  </si>
  <si>
    <t>Nama bangunan</t>
  </si>
  <si>
    <t>(isi dengan nama)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</si>
</sst>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rgb="FFA5A5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rgb="FFA5A5A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rgb="FFA5A5A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rgb="FFA5A5A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1" fillId="16" borderId="0" xfId="0" applyFont="1" applyFill="1"/>
    <xf numFmtId="0" fontId="8" fillId="16" borderId="0" xfId="0" applyFont="1" applyFill="1" applyAlignment="1">
      <alignment horizontal="center" wrapText="1"/>
    </xf>
    <xf numFmtId="0" fontId="8" fillId="16" borderId="1" xfId="0" applyFont="1" applyFill="1" applyBorder="1" applyAlignment="1">
      <alignment horizontal="center" vertical="center" wrapText="1"/>
    </xf>
    <xf numFmtId="2" fontId="8" fillId="16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964523981134281E-2"/>
          <c:y val="2.622824926666922E-2"/>
          <c:w val="0.91515897710734395"/>
          <c:h val="0.69533000099885967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rgbClr val="0070C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11</c:v>
              </c:pt>
              <c:pt idx="1">
                <c:v>11</c:v>
              </c:pt>
              <c:pt idx="2">
                <c:v>10</c:v>
              </c:pt>
              <c:pt idx="3">
                <c:v>11</c:v>
              </c:pt>
              <c:pt idx="4">
                <c:v>11</c:v>
              </c:pt>
              <c:pt idx="5">
                <c:v>11</c:v>
              </c:pt>
              <c:pt idx="6">
                <c:v>11</c:v>
              </c:pt>
              <c:pt idx="7">
                <c:v>99</c:v>
              </c:pt>
              <c:pt idx="8">
                <c:v>99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3D0-4536-A816-F328563CC28E}"/>
            </c:ext>
          </c:extLst>
        </c:ser>
        <c:ser>
          <c:idx val="1"/>
          <c:order val="1"/>
          <c:tx>
            <c:v>Moment (U)x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23</c:v>
              </c:pt>
              <c:pt idx="2">
                <c:v>22</c:v>
              </c:pt>
              <c:pt idx="3">
                <c:v>22</c:v>
              </c:pt>
              <c:pt idx="4">
                <c:v>22</c:v>
              </c:pt>
              <c:pt idx="5">
                <c:v>22</c:v>
              </c:pt>
              <c:pt idx="6">
                <c:v>23</c:v>
              </c:pt>
              <c:pt idx="7">
                <c:v>34</c:v>
              </c:pt>
              <c:pt idx="8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3D0-4536-A816-F328563CC28E}"/>
            </c:ext>
          </c:extLst>
        </c:ser>
        <c:ser>
          <c:idx val="2"/>
          <c:order val="2"/>
          <c:tx>
            <c:v>Drift (U)x</c:v>
          </c:tx>
          <c:spPr>
            <a:ln w="31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99</c:v>
              </c:pt>
              <c:pt idx="1">
                <c:v>99</c:v>
              </c:pt>
              <c:pt idx="2">
                <c:v>97</c:v>
              </c:pt>
              <c:pt idx="3">
                <c:v>96</c:v>
              </c:pt>
              <c:pt idx="4">
                <c:v>95</c:v>
              </c:pt>
              <c:pt idx="5">
                <c:v>97</c:v>
              </c:pt>
              <c:pt idx="6">
                <c:v>100</c:v>
              </c:pt>
              <c:pt idx="7">
                <c:v>43</c:v>
              </c:pt>
              <c:pt idx="8">
                <c:v>43</c:v>
              </c:pt>
              <c:pt idx="9">
                <c:v>42</c:v>
              </c:pt>
              <c:pt idx="10">
                <c:v>43</c:v>
              </c:pt>
              <c:pt idx="11">
                <c:v>62</c:v>
              </c:pt>
              <c:pt idx="12">
                <c:v>75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3D0-4536-A816-F328563CC28E}"/>
            </c:ext>
          </c:extLst>
        </c:ser>
        <c:ser>
          <c:idx val="3"/>
          <c:order val="3"/>
          <c:tx>
            <c:v>Braced (U)x</c:v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rgbClr val="00B0F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92</c:v>
              </c:pt>
              <c:pt idx="10">
                <c:v>97</c:v>
              </c:pt>
              <c:pt idx="11">
                <c:v>85</c:v>
              </c:pt>
              <c:pt idx="12">
                <c:v>51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3D0-4536-A816-F328563CC28E}"/>
            </c:ext>
          </c:extLst>
        </c:ser>
        <c:ser>
          <c:idx val="4"/>
          <c:order val="4"/>
          <c:tx>
            <c:v>Shear (S)x</c:v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5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7</c:v>
              </c:pt>
              <c:pt idx="7">
                <c:v>29</c:v>
              </c:pt>
              <c:pt idx="8">
                <c:v>55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3D0-4536-A816-F328563CC28E}"/>
            </c:ext>
          </c:extLst>
        </c:ser>
        <c:ser>
          <c:idx val="5"/>
          <c:order val="5"/>
          <c:tx>
            <c:v>Moment (S)x</c:v>
          </c:tx>
          <c:spPr>
            <a:ln w="31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21</c:v>
              </c:pt>
              <c:pt idx="2">
                <c:v>20</c:v>
              </c:pt>
              <c:pt idx="3">
                <c:v>19</c:v>
              </c:pt>
              <c:pt idx="4">
                <c:v>19</c:v>
              </c:pt>
              <c:pt idx="5">
                <c:v>19</c:v>
              </c:pt>
              <c:pt idx="6">
                <c:v>20</c:v>
              </c:pt>
              <c:pt idx="7">
                <c:v>19</c:v>
              </c:pt>
              <c:pt idx="8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3D0-4536-A816-F328563CC28E}"/>
            </c:ext>
          </c:extLst>
        </c:ser>
        <c:ser>
          <c:idx val="6"/>
          <c:order val="6"/>
          <c:tx>
            <c:v>Drift (S)x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49</c:v>
              </c:pt>
              <c:pt idx="2">
                <c:v>47</c:v>
              </c:pt>
              <c:pt idx="3">
                <c:v>46</c:v>
              </c:pt>
              <c:pt idx="4">
                <c:v>45</c:v>
              </c:pt>
              <c:pt idx="5">
                <c:v>46</c:v>
              </c:pt>
              <c:pt idx="6">
                <c:v>48</c:v>
              </c:pt>
              <c:pt idx="7">
                <c:v>31</c:v>
              </c:pt>
              <c:pt idx="8">
                <c:v>54</c:v>
              </c:pt>
              <c:pt idx="9">
                <c:v>51</c:v>
              </c:pt>
              <c:pt idx="10">
                <c:v>51</c:v>
              </c:pt>
              <c:pt idx="11">
                <c:v>75</c:v>
              </c:pt>
              <c:pt idx="12">
                <c:v>89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3D0-4536-A816-F328563CC28E}"/>
            </c:ext>
          </c:extLst>
        </c:ser>
        <c:ser>
          <c:idx val="7"/>
          <c:order val="7"/>
          <c:tx>
            <c:v>Braced (S)x</c:v>
          </c:tx>
          <c:spPr>
            <a:ln w="31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18</c:v>
              </c:pt>
              <c:pt idx="10">
                <c:v>19</c:v>
              </c:pt>
              <c:pt idx="11">
                <c:v>17</c:v>
              </c:pt>
              <c:pt idx="12">
                <c:v>27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3D0-4536-A816-F328563CC28E}"/>
            </c:ext>
          </c:extLst>
        </c:ser>
        <c:ser>
          <c:idx val="8"/>
          <c:order val="8"/>
          <c:tx>
            <c:v>Shear (U)y</c:v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12</c:v>
              </c:pt>
              <c:pt idx="1">
                <c:v>68</c:v>
              </c:pt>
              <c:pt idx="2">
                <c:v>51</c:v>
              </c:pt>
              <c:pt idx="7">
                <c:v>11</c:v>
              </c:pt>
              <c:pt idx="8">
                <c:v>11</c:v>
              </c:pt>
              <c:pt idx="9">
                <c:v>11</c:v>
              </c:pt>
              <c:pt idx="10">
                <c:v>11</c:v>
              </c:pt>
              <c:pt idx="11">
                <c:v>11</c:v>
              </c:pt>
              <c:pt idx="12">
                <c:v>11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3D0-4536-A816-F328563CC28E}"/>
            </c:ext>
          </c:extLst>
        </c:ser>
        <c:ser>
          <c:idx val="9"/>
          <c:order val="9"/>
          <c:tx>
            <c:v>Moment (U)y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chemeClr val="accent1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95</c:v>
              </c:pt>
              <c:pt idx="2">
                <c:v>65</c:v>
              </c:pt>
              <c:pt idx="7">
                <c:v>23</c:v>
              </c:pt>
              <c:pt idx="8">
                <c:v>23</c:v>
              </c:pt>
              <c:pt idx="9">
                <c:v>23</c:v>
              </c:pt>
              <c:pt idx="10">
                <c:v>23</c:v>
              </c:pt>
              <c:pt idx="11">
                <c:v>23</c:v>
              </c:pt>
              <c:pt idx="12">
                <c:v>23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3D0-4536-A816-F328563CC28E}"/>
            </c:ext>
          </c:extLst>
        </c:ser>
        <c:ser>
          <c:idx val="10"/>
          <c:order val="10"/>
          <c:tx>
            <c:v>Drift (U)y</c:v>
          </c:tx>
          <c:spPr>
            <a:ln w="31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100</c:v>
              </c:pt>
              <c:pt idx="1">
                <c:v>73</c:v>
              </c:pt>
              <c:pt idx="2">
                <c:v>23</c:v>
              </c:pt>
              <c:pt idx="3">
                <c:v>43</c:v>
              </c:pt>
              <c:pt idx="4">
                <c:v>44</c:v>
              </c:pt>
              <c:pt idx="5">
                <c:v>64</c:v>
              </c:pt>
              <c:pt idx="6">
                <c:v>78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99</c:v>
              </c:pt>
              <c:pt idx="12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3D0-4536-A816-F328563CC28E}"/>
            </c:ext>
          </c:extLst>
        </c:ser>
        <c:ser>
          <c:idx val="11"/>
          <c:order val="11"/>
          <c:tx>
            <c:v>Braced (U)y</c:v>
          </c:tx>
          <c:spPr>
            <a:ln w="31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95</c:v>
              </c:pt>
              <c:pt idx="4">
                <c:v>100</c:v>
              </c:pt>
              <c:pt idx="5">
                <c:v>88</c:v>
              </c:pt>
              <c:pt idx="6">
                <c:v>53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3D0-4536-A816-F328563CC28E}"/>
            </c:ext>
          </c:extLst>
        </c:ser>
        <c:ser>
          <c:idx val="12"/>
          <c:order val="12"/>
          <c:tx>
            <c:v>Shear (S)y</c:v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27</c:v>
              </c:pt>
              <c:pt idx="2">
                <c:v>29</c:v>
              </c:pt>
              <c:pt idx="7">
                <c:v>7</c:v>
              </c:pt>
              <c:pt idx="8">
                <c:v>7</c:v>
              </c:pt>
              <c:pt idx="9">
                <c:v>7</c:v>
              </c:pt>
              <c:pt idx="10">
                <c:v>7</c:v>
              </c:pt>
              <c:pt idx="11">
                <c:v>7</c:v>
              </c:pt>
              <c:pt idx="12">
                <c:v>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3D0-4536-A816-F328563CC28E}"/>
            </c:ext>
          </c:extLst>
        </c:ser>
        <c:ser>
          <c:idx val="13"/>
          <c:order val="13"/>
          <c:tx>
            <c:v>Moment (S)y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29</c:v>
              </c:pt>
              <c:pt idx="2">
                <c:v>23</c:v>
              </c:pt>
              <c:pt idx="7">
                <c:v>21</c:v>
              </c:pt>
              <c:pt idx="8">
                <c:v>20</c:v>
              </c:pt>
              <c:pt idx="9">
                <c:v>20</c:v>
              </c:pt>
              <c:pt idx="10">
                <c:v>20</c:v>
              </c:pt>
              <c:pt idx="11">
                <c:v>20</c:v>
              </c:pt>
              <c:pt idx="12">
                <c:v>20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3D0-4536-A816-F328563CC28E}"/>
            </c:ext>
          </c:extLst>
        </c:ser>
        <c:ser>
          <c:idx val="14"/>
          <c:order val="14"/>
          <c:tx>
            <c:v>Drift (S)y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43</c:v>
              </c:pt>
              <c:pt idx="2">
                <c:v>29</c:v>
              </c:pt>
              <c:pt idx="3">
                <c:v>52</c:v>
              </c:pt>
              <c:pt idx="4">
                <c:v>53</c:v>
              </c:pt>
              <c:pt idx="5">
                <c:v>77</c:v>
              </c:pt>
              <c:pt idx="6">
                <c:v>92</c:v>
              </c:pt>
              <c:pt idx="7">
                <c:v>49</c:v>
              </c:pt>
              <c:pt idx="8">
                <c:v>48</c:v>
              </c:pt>
              <c:pt idx="9">
                <c:v>48</c:v>
              </c:pt>
              <c:pt idx="10">
                <c:v>47</c:v>
              </c:pt>
              <c:pt idx="11">
                <c:v>47</c:v>
              </c:pt>
              <c:pt idx="12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3D0-4536-A816-F328563CC28E}"/>
            </c:ext>
          </c:extLst>
        </c:ser>
        <c:ser>
          <c:idx val="15"/>
          <c:order val="15"/>
          <c:tx>
            <c:v>Braced (S)y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chemeClr val="accent4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19</c:v>
              </c:pt>
              <c:pt idx="4">
                <c:v>20</c:v>
              </c:pt>
              <c:pt idx="5">
                <c:v>18</c:v>
              </c:pt>
              <c:pt idx="6">
                <c:v>28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3D0-4536-A816-F328563CC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58112"/>
        <c:axId val="1100274432"/>
      </c:lineChart>
      <c:catAx>
        <c:axId val="110025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74432"/>
        <c:crosses val="autoZero"/>
        <c:auto val="1"/>
        <c:lblAlgn val="ctr"/>
        <c:lblOffset val="100"/>
        <c:noMultiLvlLbl val="0"/>
      </c:catAx>
      <c:valAx>
        <c:axId val="110027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981904572557971E-2"/>
          <c:y val="0.92661592315126229"/>
          <c:w val="0.96416283352286247"/>
          <c:h val="5.5923222510757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964523981134281E-2"/>
          <c:y val="2.622824926666922E-2"/>
          <c:w val="0.91515897710734395"/>
          <c:h val="0.69533000099885967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rgbClr val="0070C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11</c:v>
              </c:pt>
              <c:pt idx="1">
                <c:v>11</c:v>
              </c:pt>
              <c:pt idx="2">
                <c:v>10</c:v>
              </c:pt>
              <c:pt idx="3">
                <c:v>11</c:v>
              </c:pt>
              <c:pt idx="4">
                <c:v>11</c:v>
              </c:pt>
              <c:pt idx="5">
                <c:v>11</c:v>
              </c:pt>
              <c:pt idx="6">
                <c:v>11</c:v>
              </c:pt>
              <c:pt idx="7">
                <c:v>99</c:v>
              </c:pt>
              <c:pt idx="8">
                <c:v>99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DAD-4C58-9D94-33E06F3C3D36}"/>
            </c:ext>
          </c:extLst>
        </c:ser>
        <c:ser>
          <c:idx val="1"/>
          <c:order val="1"/>
          <c:tx>
            <c:v>Moment (U)x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23</c:v>
              </c:pt>
              <c:pt idx="2">
                <c:v>22</c:v>
              </c:pt>
              <c:pt idx="3">
                <c:v>22</c:v>
              </c:pt>
              <c:pt idx="4">
                <c:v>22</c:v>
              </c:pt>
              <c:pt idx="5">
                <c:v>22</c:v>
              </c:pt>
              <c:pt idx="6">
                <c:v>23</c:v>
              </c:pt>
              <c:pt idx="7">
                <c:v>34</c:v>
              </c:pt>
              <c:pt idx="8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DAD-4C58-9D94-33E06F3C3D36}"/>
            </c:ext>
          </c:extLst>
        </c:ser>
        <c:ser>
          <c:idx val="2"/>
          <c:order val="2"/>
          <c:tx>
            <c:v>Drift (U)x</c:v>
          </c:tx>
          <c:spPr>
            <a:ln w="31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99</c:v>
              </c:pt>
              <c:pt idx="1">
                <c:v>99</c:v>
              </c:pt>
              <c:pt idx="2">
                <c:v>97</c:v>
              </c:pt>
              <c:pt idx="3">
                <c:v>96</c:v>
              </c:pt>
              <c:pt idx="4">
                <c:v>95</c:v>
              </c:pt>
              <c:pt idx="5">
                <c:v>97</c:v>
              </c:pt>
              <c:pt idx="6">
                <c:v>100</c:v>
              </c:pt>
              <c:pt idx="7">
                <c:v>43</c:v>
              </c:pt>
              <c:pt idx="8">
                <c:v>43</c:v>
              </c:pt>
              <c:pt idx="9">
                <c:v>42</c:v>
              </c:pt>
              <c:pt idx="10">
                <c:v>43</c:v>
              </c:pt>
              <c:pt idx="11">
                <c:v>62</c:v>
              </c:pt>
              <c:pt idx="12">
                <c:v>75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DAD-4C58-9D94-33E06F3C3D36}"/>
            </c:ext>
          </c:extLst>
        </c:ser>
        <c:ser>
          <c:idx val="3"/>
          <c:order val="3"/>
          <c:tx>
            <c:v>Braced (U)x</c:v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rgbClr val="00B0F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92</c:v>
              </c:pt>
              <c:pt idx="10">
                <c:v>97</c:v>
              </c:pt>
              <c:pt idx="11">
                <c:v>85</c:v>
              </c:pt>
              <c:pt idx="12">
                <c:v>51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DAD-4C58-9D94-33E06F3C3D36}"/>
            </c:ext>
          </c:extLst>
        </c:ser>
        <c:ser>
          <c:idx val="4"/>
          <c:order val="4"/>
          <c:tx>
            <c:v>Shear (S)x</c:v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5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7</c:v>
              </c:pt>
              <c:pt idx="7">
                <c:v>29</c:v>
              </c:pt>
              <c:pt idx="8">
                <c:v>55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DAD-4C58-9D94-33E06F3C3D36}"/>
            </c:ext>
          </c:extLst>
        </c:ser>
        <c:ser>
          <c:idx val="5"/>
          <c:order val="5"/>
          <c:tx>
            <c:v>Moment (S)x</c:v>
          </c:tx>
          <c:spPr>
            <a:ln w="31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21</c:v>
              </c:pt>
              <c:pt idx="2">
                <c:v>20</c:v>
              </c:pt>
              <c:pt idx="3">
                <c:v>19</c:v>
              </c:pt>
              <c:pt idx="4">
                <c:v>19</c:v>
              </c:pt>
              <c:pt idx="5">
                <c:v>19</c:v>
              </c:pt>
              <c:pt idx="6">
                <c:v>20</c:v>
              </c:pt>
              <c:pt idx="7">
                <c:v>19</c:v>
              </c:pt>
              <c:pt idx="8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DAD-4C58-9D94-33E06F3C3D36}"/>
            </c:ext>
          </c:extLst>
        </c:ser>
        <c:ser>
          <c:idx val="6"/>
          <c:order val="6"/>
          <c:tx>
            <c:v>Drift (S)x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49</c:v>
              </c:pt>
              <c:pt idx="2">
                <c:v>47</c:v>
              </c:pt>
              <c:pt idx="3">
                <c:v>46</c:v>
              </c:pt>
              <c:pt idx="4">
                <c:v>45</c:v>
              </c:pt>
              <c:pt idx="5">
                <c:v>46</c:v>
              </c:pt>
              <c:pt idx="6">
                <c:v>48</c:v>
              </c:pt>
              <c:pt idx="7">
                <c:v>31</c:v>
              </c:pt>
              <c:pt idx="8">
                <c:v>54</c:v>
              </c:pt>
              <c:pt idx="9">
                <c:v>51</c:v>
              </c:pt>
              <c:pt idx="10">
                <c:v>51</c:v>
              </c:pt>
              <c:pt idx="11">
                <c:v>75</c:v>
              </c:pt>
              <c:pt idx="12">
                <c:v>89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DAD-4C58-9D94-33E06F3C3D36}"/>
            </c:ext>
          </c:extLst>
        </c:ser>
        <c:ser>
          <c:idx val="7"/>
          <c:order val="7"/>
          <c:tx>
            <c:v>Braced (S)x</c:v>
          </c:tx>
          <c:spPr>
            <a:ln w="31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18</c:v>
              </c:pt>
              <c:pt idx="10">
                <c:v>19</c:v>
              </c:pt>
              <c:pt idx="11">
                <c:v>17</c:v>
              </c:pt>
              <c:pt idx="12">
                <c:v>27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DAD-4C58-9D94-33E06F3C3D36}"/>
            </c:ext>
          </c:extLst>
        </c:ser>
        <c:ser>
          <c:idx val="8"/>
          <c:order val="8"/>
          <c:tx>
            <c:v>Shear (U)y</c:v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12</c:v>
              </c:pt>
              <c:pt idx="1">
                <c:v>68</c:v>
              </c:pt>
              <c:pt idx="2">
                <c:v>51</c:v>
              </c:pt>
              <c:pt idx="7">
                <c:v>11</c:v>
              </c:pt>
              <c:pt idx="8">
                <c:v>11</c:v>
              </c:pt>
              <c:pt idx="9">
                <c:v>11</c:v>
              </c:pt>
              <c:pt idx="10">
                <c:v>11</c:v>
              </c:pt>
              <c:pt idx="11">
                <c:v>11</c:v>
              </c:pt>
              <c:pt idx="12">
                <c:v>11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DAD-4C58-9D94-33E06F3C3D36}"/>
            </c:ext>
          </c:extLst>
        </c:ser>
        <c:ser>
          <c:idx val="9"/>
          <c:order val="9"/>
          <c:tx>
            <c:v>Moment (U)y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chemeClr val="accent1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95</c:v>
              </c:pt>
              <c:pt idx="2">
                <c:v>65</c:v>
              </c:pt>
              <c:pt idx="7">
                <c:v>23</c:v>
              </c:pt>
              <c:pt idx="8">
                <c:v>23</c:v>
              </c:pt>
              <c:pt idx="9">
                <c:v>23</c:v>
              </c:pt>
              <c:pt idx="10">
                <c:v>23</c:v>
              </c:pt>
              <c:pt idx="11">
                <c:v>23</c:v>
              </c:pt>
              <c:pt idx="12">
                <c:v>23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DAD-4C58-9D94-33E06F3C3D36}"/>
            </c:ext>
          </c:extLst>
        </c:ser>
        <c:ser>
          <c:idx val="10"/>
          <c:order val="10"/>
          <c:tx>
            <c:v>Drift (U)y</c:v>
          </c:tx>
          <c:spPr>
            <a:ln w="31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100</c:v>
              </c:pt>
              <c:pt idx="1">
                <c:v>73</c:v>
              </c:pt>
              <c:pt idx="2">
                <c:v>23</c:v>
              </c:pt>
              <c:pt idx="3">
                <c:v>43</c:v>
              </c:pt>
              <c:pt idx="4">
                <c:v>44</c:v>
              </c:pt>
              <c:pt idx="5">
                <c:v>64</c:v>
              </c:pt>
              <c:pt idx="6">
                <c:v>78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99</c:v>
              </c:pt>
              <c:pt idx="12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DAD-4C58-9D94-33E06F3C3D36}"/>
            </c:ext>
          </c:extLst>
        </c:ser>
        <c:ser>
          <c:idx val="11"/>
          <c:order val="11"/>
          <c:tx>
            <c:v>Braced (U)y</c:v>
          </c:tx>
          <c:spPr>
            <a:ln w="31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95</c:v>
              </c:pt>
              <c:pt idx="4">
                <c:v>100</c:v>
              </c:pt>
              <c:pt idx="5">
                <c:v>88</c:v>
              </c:pt>
              <c:pt idx="6">
                <c:v>53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DAD-4C58-9D94-33E06F3C3D36}"/>
            </c:ext>
          </c:extLst>
        </c:ser>
        <c:ser>
          <c:idx val="12"/>
          <c:order val="12"/>
          <c:tx>
            <c:v>Shear (S)y</c:v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27</c:v>
              </c:pt>
              <c:pt idx="2">
                <c:v>29</c:v>
              </c:pt>
              <c:pt idx="7">
                <c:v>7</c:v>
              </c:pt>
              <c:pt idx="8">
                <c:v>7</c:v>
              </c:pt>
              <c:pt idx="9">
                <c:v>7</c:v>
              </c:pt>
              <c:pt idx="10">
                <c:v>7</c:v>
              </c:pt>
              <c:pt idx="11">
                <c:v>7</c:v>
              </c:pt>
              <c:pt idx="12">
                <c:v>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DAD-4C58-9D94-33E06F3C3D36}"/>
            </c:ext>
          </c:extLst>
        </c:ser>
        <c:ser>
          <c:idx val="13"/>
          <c:order val="13"/>
          <c:tx>
            <c:v>Moment (S)y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29</c:v>
              </c:pt>
              <c:pt idx="2">
                <c:v>23</c:v>
              </c:pt>
              <c:pt idx="7">
                <c:v>21</c:v>
              </c:pt>
              <c:pt idx="8">
                <c:v>20</c:v>
              </c:pt>
              <c:pt idx="9">
                <c:v>20</c:v>
              </c:pt>
              <c:pt idx="10">
                <c:v>20</c:v>
              </c:pt>
              <c:pt idx="11">
                <c:v>20</c:v>
              </c:pt>
              <c:pt idx="12">
                <c:v>20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DAD-4C58-9D94-33E06F3C3D36}"/>
            </c:ext>
          </c:extLst>
        </c:ser>
        <c:ser>
          <c:idx val="14"/>
          <c:order val="14"/>
          <c:tx>
            <c:v>Drift (S)y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43</c:v>
              </c:pt>
              <c:pt idx="2">
                <c:v>29</c:v>
              </c:pt>
              <c:pt idx="3">
                <c:v>52</c:v>
              </c:pt>
              <c:pt idx="4">
                <c:v>53</c:v>
              </c:pt>
              <c:pt idx="5">
                <c:v>77</c:v>
              </c:pt>
              <c:pt idx="6">
                <c:v>92</c:v>
              </c:pt>
              <c:pt idx="7">
                <c:v>49</c:v>
              </c:pt>
              <c:pt idx="8">
                <c:v>48</c:v>
              </c:pt>
              <c:pt idx="9">
                <c:v>48</c:v>
              </c:pt>
              <c:pt idx="10">
                <c:v>47</c:v>
              </c:pt>
              <c:pt idx="11">
                <c:v>47</c:v>
              </c:pt>
              <c:pt idx="12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DAD-4C58-9D94-33E06F3C3D36}"/>
            </c:ext>
          </c:extLst>
        </c:ser>
        <c:ser>
          <c:idx val="15"/>
          <c:order val="15"/>
          <c:tx>
            <c:v>Braced (S)y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chemeClr val="accent4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19</c:v>
              </c:pt>
              <c:pt idx="4">
                <c:v>20</c:v>
              </c:pt>
              <c:pt idx="5">
                <c:v>18</c:v>
              </c:pt>
              <c:pt idx="6">
                <c:v>28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DAD-4C58-9D94-33E06F3C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58112"/>
        <c:axId val="1100274432"/>
      </c:lineChart>
      <c:catAx>
        <c:axId val="110025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74432"/>
        <c:crosses val="autoZero"/>
        <c:auto val="1"/>
        <c:lblAlgn val="ctr"/>
        <c:lblOffset val="100"/>
        <c:noMultiLvlLbl val="0"/>
      </c:catAx>
      <c:valAx>
        <c:axId val="110027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981904572557971E-2"/>
          <c:y val="0.92661592315126229"/>
          <c:w val="0.96416283352286247"/>
          <c:h val="5.5923222510757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Nilai Kekuatan Sistem</a:t>
            </a:r>
            <a:r>
              <a:rPr lang="en-ID" baseline="0"/>
              <a:t> Struktur pada Keadaan PGA 0.4</a:t>
            </a:r>
            <a:endParaRPr lang="en-ID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978045680911217E-2"/>
          <c:y val="0.13012480014393726"/>
          <c:w val="0.91153376800504637"/>
          <c:h val="0.5689314745641062"/>
        </c:manualLayout>
      </c:layout>
      <c:lineChart>
        <c:grouping val="standard"/>
        <c:varyColors val="0"/>
        <c:ser>
          <c:idx val="0"/>
          <c:order val="0"/>
          <c:tx>
            <c:strRef>
              <c:f>'PGA 0,4'!$B$10</c:f>
              <c:strCache>
                <c:ptCount val="1"/>
                <c:pt idx="0">
                  <c:v>0.4 BFCOST-BFCOST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  <a:ln w="12700">
                <a:noFill/>
              </a:ln>
            </c:spPr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0,4'!$M$10:$AB$10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6-4728-8140-AE2C0CDC3F89}"/>
            </c:ext>
          </c:extLst>
        </c:ser>
        <c:ser>
          <c:idx val="1"/>
          <c:order val="1"/>
          <c:tx>
            <c:strRef>
              <c:f>'PGA 0,4'!$B$11</c:f>
              <c:strCache>
                <c:ptCount val="1"/>
                <c:pt idx="0">
                  <c:v>0.4 BFCTST-BFCTST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  <a:ln w="12700">
                <a:noFill/>
              </a:ln>
            </c:spPr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0,4'!$M$11:$AB$11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6-4728-8140-AE2C0CDC3F89}"/>
            </c:ext>
          </c:extLst>
        </c:ser>
        <c:ser>
          <c:idx val="2"/>
          <c:order val="2"/>
          <c:tx>
            <c:strRef>
              <c:f>'PGA 0,4'!$B$12</c:f>
              <c:strCache>
                <c:ptCount val="1"/>
                <c:pt idx="0">
                  <c:v>0.4 BFECST-BFECST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96B24"/>
              </a:solidFill>
              <a:ln w="12700">
                <a:noFill/>
              </a:ln>
            </c:spPr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0,4'!$M$12:$AB$12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A6-4728-8140-AE2C0CDC3F89}"/>
            </c:ext>
          </c:extLst>
        </c:ser>
        <c:ser>
          <c:idx val="3"/>
          <c:order val="3"/>
          <c:tx>
            <c:strRef>
              <c:f>'PGA 0,4'!$B$13</c:f>
              <c:strCache>
                <c:ptCount val="1"/>
                <c:pt idx="0">
                  <c:v>0.4 BFCOST-BFCTST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96B24"/>
              </a:solidFill>
              <a:ln w="12700">
                <a:noFill/>
              </a:ln>
            </c:spPr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0,4'!$M$13:$AB$13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A6-4728-8140-AE2C0CDC3F89}"/>
            </c:ext>
          </c:extLst>
        </c:ser>
        <c:ser>
          <c:idx val="4"/>
          <c:order val="4"/>
          <c:tx>
            <c:strRef>
              <c:f>'PGA 0,4'!$B$14</c:f>
              <c:strCache>
                <c:ptCount val="1"/>
                <c:pt idx="0">
                  <c:v>0.4 BFCOST-BFECST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0F9ED5"/>
              </a:solidFill>
              <a:ln w="12700">
                <a:noFill/>
              </a:ln>
            </c:spPr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0,4'!$M$14:$AB$14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A6-4728-8140-AE2C0CDC3F89}"/>
            </c:ext>
          </c:extLst>
        </c:ser>
        <c:ser>
          <c:idx val="5"/>
          <c:order val="5"/>
          <c:tx>
            <c:strRef>
              <c:f>'PGA 0,4'!$B$15</c:f>
              <c:strCache>
                <c:ptCount val="1"/>
                <c:pt idx="0">
                  <c:v>0.4 BFCTST-BFECST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0,4'!$M$15:$AB$15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DA6-4728-8140-AE2C0CDC3F89}"/>
            </c:ext>
          </c:extLst>
        </c:ser>
        <c:ser>
          <c:idx val="6"/>
          <c:order val="6"/>
          <c:tx>
            <c:strRef>
              <c:f>'PGA 0,4'!$B$16</c:f>
              <c:strCache>
                <c:ptCount val="1"/>
                <c:pt idx="0">
                  <c:v>0.4 BFECST-BFCOST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0,4'!$M$16:$AB$16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DA6-4728-8140-AE2C0CDC3F89}"/>
            </c:ext>
          </c:extLst>
        </c:ser>
        <c:ser>
          <c:idx val="7"/>
          <c:order val="7"/>
          <c:tx>
            <c:strRef>
              <c:f>'PGA 0,4'!$B$17</c:f>
              <c:strCache>
                <c:ptCount val="1"/>
                <c:pt idx="0">
                  <c:v>0.4 BFCTST-BFCOST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0,4'!$M$17:$AB$17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DA6-4728-8140-AE2C0CDC3F89}"/>
            </c:ext>
          </c:extLst>
        </c:ser>
        <c:ser>
          <c:idx val="8"/>
          <c:order val="8"/>
          <c:tx>
            <c:strRef>
              <c:f>'PGA 0,4'!$B$18</c:f>
              <c:strCache>
                <c:ptCount val="1"/>
                <c:pt idx="0">
                  <c:v>0.4 BFECST-BFCTST</c:v>
                </c:pt>
              </c:strCache>
            </c:strRef>
          </c:tx>
          <c:spPr>
            <a:ln w="38100">
              <a:noFill/>
            </a:ln>
          </c:spPr>
          <c:cat>
            <c:strRef>
              <c:f>'PGA 0,4'!$M$9:$AB$9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0,4'!$M$18:$AB$18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DA6-4728-8140-AE2C0CDC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02528"/>
        <c:axId val="1"/>
      </c:lineChart>
      <c:catAx>
        <c:axId val="12257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257025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7820955425928131E-2"/>
          <c:y val="0.8363836173231759"/>
          <c:w val="0.95118622837216116"/>
          <c:h val="0.144756921869057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ID"/>
              <a:t>DIMENSI ELEMEN STRUKTUR LATERAL ≤ 15 CM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434459905886756E-2"/>
          <c:y val="0.10079616918475341"/>
          <c:w val="0.90931491635382722"/>
          <c:h val="0.818234851389742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'PGA 0,4'!$D$5</c:f>
              <c:strCache>
                <c:ptCount val="1"/>
                <c:pt idx="0">
                  <c:v>PGA 0.4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6"/>
            <c:spPr>
              <a:noFill/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'PGA 0,4'!$G$10:$G$18</c:f>
              <c:numCache>
                <c:formatCode>General</c:formatCode>
                <c:ptCount val="9"/>
              </c:numCache>
            </c:numRef>
          </c:xVal>
          <c:yVal>
            <c:numRef>
              <c:f>'PGA 0,4'!$L$10:$L$18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4B2C-4063-B0DC-41BA92609960}"/>
            </c:ext>
          </c:extLst>
        </c:ser>
        <c:ser>
          <c:idx val="1"/>
          <c:order val="1"/>
          <c:tx>
            <c:strRef>
              <c:f>'PGA 0,5'!$D$5</c:f>
              <c:strCache>
                <c:ptCount val="1"/>
                <c:pt idx="0">
                  <c:v>PGA 0.5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'PGA 0,5'!$G$10:$G$18</c:f>
              <c:numCache>
                <c:formatCode>General</c:formatCode>
                <c:ptCount val="9"/>
              </c:numCache>
            </c:numRef>
          </c:xVal>
          <c:yVal>
            <c:numRef>
              <c:f>'PGA 0,4'!$L$10:$L$18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4B2C-4063-B0DC-41BA9260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76768"/>
        <c:axId val="1"/>
      </c:scatterChart>
      <c:valAx>
        <c:axId val="345076768"/>
        <c:scaling>
          <c:orientation val="minMax"/>
          <c:max val="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345076768"/>
        <c:crossesAt val="0"/>
        <c:crossBetween val="midCat"/>
        <c:majorUnit val="1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4331860956404842"/>
          <c:y val="0.95502461182251208"/>
          <c:w val="0.33141944548330698"/>
          <c:h val="3.81867670581581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Nilai Kekuatan Sistem</a:t>
            </a:r>
            <a:r>
              <a:rPr lang="en-ID" baseline="0"/>
              <a:t> Struktur pada Keadaan PGA 0.5</a:t>
            </a:r>
            <a:endParaRPr lang="en-ID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978045680911217E-2"/>
          <c:y val="0.13012480014393726"/>
          <c:w val="0.91153376800504637"/>
          <c:h val="0.5689314745641062"/>
        </c:manualLayout>
      </c:layout>
      <c:lineChart>
        <c:grouping val="standard"/>
        <c:varyColors val="0"/>
        <c:ser>
          <c:idx val="0"/>
          <c:order val="0"/>
          <c:tx>
            <c:strRef>
              <c:f>'PGA 0,5'!$B$10</c:f>
              <c:strCache>
                <c:ptCount val="1"/>
                <c:pt idx="0">
                  <c:v>0.5 BFCOST-BFCOST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  <a:ln w="12700">
                <a:noFill/>
              </a:ln>
            </c:spPr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0,5'!$M$10:$AB$10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8-4837-A265-784328B73D72}"/>
            </c:ext>
          </c:extLst>
        </c:ser>
        <c:ser>
          <c:idx val="1"/>
          <c:order val="1"/>
          <c:tx>
            <c:strRef>
              <c:f>'PGA 0,5'!$B$11</c:f>
              <c:strCache>
                <c:ptCount val="1"/>
                <c:pt idx="0">
                  <c:v>0.5 BFCTST-BFCTST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  <a:ln w="12700">
                <a:noFill/>
              </a:ln>
            </c:spPr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0,5'!$M$11:$AB$11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8-4837-A265-784328B73D72}"/>
            </c:ext>
          </c:extLst>
        </c:ser>
        <c:ser>
          <c:idx val="2"/>
          <c:order val="2"/>
          <c:tx>
            <c:strRef>
              <c:f>'PGA 0,5'!$B$12</c:f>
              <c:strCache>
                <c:ptCount val="1"/>
                <c:pt idx="0">
                  <c:v>0.5 BFECST-BFECST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96B24"/>
              </a:solidFill>
              <a:ln w="12700">
                <a:noFill/>
              </a:ln>
            </c:spPr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0,5'!$M$12:$AB$12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8-4837-A265-784328B73D72}"/>
            </c:ext>
          </c:extLst>
        </c:ser>
        <c:ser>
          <c:idx val="3"/>
          <c:order val="3"/>
          <c:tx>
            <c:strRef>
              <c:f>'PGA 0,5'!$B$13</c:f>
              <c:strCache>
                <c:ptCount val="1"/>
                <c:pt idx="0">
                  <c:v>0.5 BFCOST-BFCTST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196B24"/>
              </a:solidFill>
              <a:ln w="12700">
                <a:noFill/>
              </a:ln>
            </c:spPr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0,5'!$M$13:$AB$13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A8-4837-A265-784328B73D72}"/>
            </c:ext>
          </c:extLst>
        </c:ser>
        <c:ser>
          <c:idx val="4"/>
          <c:order val="4"/>
          <c:tx>
            <c:strRef>
              <c:f>'PGA 0,5'!$B$14</c:f>
              <c:strCache>
                <c:ptCount val="1"/>
                <c:pt idx="0">
                  <c:v>0.5 BFCOST-BFECST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0F9ED5"/>
              </a:solidFill>
              <a:ln w="12700">
                <a:noFill/>
              </a:ln>
            </c:spPr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0,5'!$M$14:$AB$14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A8-4837-A265-784328B73D72}"/>
            </c:ext>
          </c:extLst>
        </c:ser>
        <c:ser>
          <c:idx val="5"/>
          <c:order val="5"/>
          <c:tx>
            <c:strRef>
              <c:f>'PGA 0,5'!$B$15</c:f>
              <c:strCache>
                <c:ptCount val="1"/>
                <c:pt idx="0">
                  <c:v>0.5 BFCTST-BFECST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0,5'!$M$15:$AB$15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A8-4837-A265-784328B73D72}"/>
            </c:ext>
          </c:extLst>
        </c:ser>
        <c:ser>
          <c:idx val="6"/>
          <c:order val="6"/>
          <c:tx>
            <c:strRef>
              <c:f>'PGA 0,5'!$B$16</c:f>
              <c:strCache>
                <c:ptCount val="1"/>
                <c:pt idx="0">
                  <c:v>0.5 BFECST-BFCOST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0,5'!$M$16:$AB$16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A8-4837-A265-784328B73D72}"/>
            </c:ext>
          </c:extLst>
        </c:ser>
        <c:ser>
          <c:idx val="7"/>
          <c:order val="7"/>
          <c:tx>
            <c:strRef>
              <c:f>'PGA 0,5'!$B$17</c:f>
              <c:strCache>
                <c:ptCount val="1"/>
                <c:pt idx="0">
                  <c:v>0.5 BFCTST-BFCOST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0,5'!$M$17:$AB$17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A8-4837-A265-784328B73D72}"/>
            </c:ext>
          </c:extLst>
        </c:ser>
        <c:ser>
          <c:idx val="8"/>
          <c:order val="8"/>
          <c:tx>
            <c:strRef>
              <c:f>'PGA 0,5'!$B$18</c:f>
              <c:strCache>
                <c:ptCount val="1"/>
                <c:pt idx="0">
                  <c:v>0.5 BFECST-BFCTST</c:v>
                </c:pt>
              </c:strCache>
            </c:strRef>
          </c:tx>
          <c:spPr>
            <a:ln w="38100">
              <a:noFill/>
            </a:ln>
          </c:spPr>
          <c:cat>
            <c:strRef>
              <c:f>'PGA 0,5'!$M$9:$AB$9</c:f>
              <c:strCache>
                <c:ptCount val="16"/>
                <c:pt idx="0">
                  <c:v>Shear (U)x</c:v>
                </c:pt>
                <c:pt idx="1">
                  <c:v>Moment (U)x</c:v>
                </c:pt>
                <c:pt idx="2">
                  <c:v>Drift (U)x</c:v>
                </c:pt>
                <c:pt idx="3">
                  <c:v>Braced (U)x</c:v>
                </c:pt>
                <c:pt idx="4">
                  <c:v>Shear (S)x</c:v>
                </c:pt>
                <c:pt idx="5">
                  <c:v>Moment (S)x</c:v>
                </c:pt>
                <c:pt idx="6">
                  <c:v>Drift (S)x</c:v>
                </c:pt>
                <c:pt idx="7">
                  <c:v>Braced (S)x</c:v>
                </c:pt>
                <c:pt idx="8">
                  <c:v>Shear (U)y</c:v>
                </c:pt>
                <c:pt idx="9">
                  <c:v>Moment (U)y</c:v>
                </c:pt>
                <c:pt idx="10">
                  <c:v>Drift (U)y</c:v>
                </c:pt>
                <c:pt idx="11">
                  <c:v>Braced (U)y</c:v>
                </c:pt>
                <c:pt idx="12">
                  <c:v>Shear (S)y</c:v>
                </c:pt>
                <c:pt idx="13">
                  <c:v>Moment (S)y</c:v>
                </c:pt>
                <c:pt idx="14">
                  <c:v>Drift (S)y</c:v>
                </c:pt>
                <c:pt idx="15">
                  <c:v>Braced (S)y</c:v>
                </c:pt>
              </c:strCache>
            </c:strRef>
          </c:cat>
          <c:val>
            <c:numRef>
              <c:f>'PGA 0,5'!$M$18:$AB$18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A8-4837-A265-784328B7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02528"/>
        <c:axId val="1"/>
      </c:lineChart>
      <c:catAx>
        <c:axId val="12257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257025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7820955425928131E-2"/>
          <c:y val="0.8389802127163658"/>
          <c:w val="0.93762979065446528"/>
          <c:h val="0.1564634779657413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529977699475162E-2"/>
          <c:y val="4.4740025904024226E-2"/>
          <c:w val="0.88998180520291348"/>
          <c:h val="0.5304588651429154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66</c:v>
              </c:pt>
              <c:pt idx="1">
                <c:v>86</c:v>
              </c:pt>
              <c:pt idx="6">
                <c:v>64</c:v>
              </c:pt>
              <c:pt idx="7">
                <c:v>65</c:v>
              </c:pt>
              <c:pt idx="8">
                <c:v>73</c:v>
              </c:pt>
              <c:pt idx="9">
                <c:v>65</c:v>
              </c:pt>
              <c:pt idx="10">
                <c:v>66</c:v>
              </c:pt>
              <c:pt idx="11">
                <c:v>46</c:v>
              </c:pt>
              <c:pt idx="12">
                <c:v>46</c:v>
              </c:pt>
              <c:pt idx="13">
                <c:v>46</c:v>
              </c:pt>
              <c:pt idx="14">
                <c:v>47</c:v>
              </c:pt>
              <c:pt idx="21">
                <c:v>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287-4A6F-AD96-00EB7E92DDC7}"/>
            </c:ext>
          </c:extLst>
        </c:ser>
        <c:ser>
          <c:idx val="1"/>
          <c:order val="1"/>
          <c:tx>
            <c:v>Moment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98</c:v>
              </c:pt>
              <c:pt idx="1">
                <c:v>77</c:v>
              </c:pt>
              <c:pt idx="6">
                <c:v>95</c:v>
              </c:pt>
              <c:pt idx="7">
                <c:v>98</c:v>
              </c:pt>
              <c:pt idx="8">
                <c:v>96</c:v>
              </c:pt>
              <c:pt idx="9">
                <c:v>96</c:v>
              </c:pt>
              <c:pt idx="10">
                <c:v>97</c:v>
              </c:pt>
              <c:pt idx="11">
                <c:v>58</c:v>
              </c:pt>
              <c:pt idx="12">
                <c:v>58</c:v>
              </c:pt>
              <c:pt idx="13">
                <c:v>59</c:v>
              </c:pt>
              <c:pt idx="14">
                <c:v>59</c:v>
              </c:pt>
              <c:pt idx="21">
                <c:v>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287-4A6F-AD96-00EB7E92DDC7}"/>
            </c:ext>
          </c:extLst>
        </c:ser>
        <c:ser>
          <c:idx val="2"/>
          <c:order val="2"/>
          <c:tx>
            <c:v>Drift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80</c:v>
              </c:pt>
              <c:pt idx="1">
                <c:v>36</c:v>
              </c:pt>
              <c:pt idx="2">
                <c:v>47</c:v>
              </c:pt>
              <c:pt idx="3">
                <c:v>40</c:v>
              </c:pt>
              <c:pt idx="4">
                <c:v>59</c:v>
              </c:pt>
              <c:pt idx="5">
                <c:v>74</c:v>
              </c:pt>
              <c:pt idx="6">
                <c:v>81</c:v>
              </c:pt>
              <c:pt idx="7">
                <c:v>83</c:v>
              </c:pt>
              <c:pt idx="8">
                <c:v>68</c:v>
              </c:pt>
              <c:pt idx="9">
                <c:v>79</c:v>
              </c:pt>
              <c:pt idx="10">
                <c:v>79</c:v>
              </c:pt>
              <c:pt idx="11">
                <c:v>21</c:v>
              </c:pt>
              <c:pt idx="12">
                <c:v>21</c:v>
              </c:pt>
              <c:pt idx="13">
                <c:v>21</c:v>
              </c:pt>
              <c:pt idx="14">
                <c:v>21</c:v>
              </c:pt>
              <c:pt idx="15">
                <c:v>47</c:v>
              </c:pt>
              <c:pt idx="16">
                <c:v>48</c:v>
              </c:pt>
              <c:pt idx="17">
                <c:v>48</c:v>
              </c:pt>
              <c:pt idx="18">
                <c:v>40</c:v>
              </c:pt>
              <c:pt idx="19">
                <c:v>41</c:v>
              </c:pt>
              <c:pt idx="20">
                <c:v>73</c:v>
              </c:pt>
              <c:pt idx="21">
                <c:v>38</c:v>
              </c:pt>
              <c:pt idx="22">
                <c:v>41</c:v>
              </c:pt>
              <c:pt idx="23">
                <c:v>42</c:v>
              </c:pt>
              <c:pt idx="24">
                <c:v>61</c:v>
              </c:pt>
              <c:pt idx="25">
                <c:v>74</c:v>
              </c:pt>
              <c:pt idx="26">
                <c:v>47</c:v>
              </c:pt>
              <c:pt idx="27">
                <c:v>40</c:v>
              </c:pt>
              <c:pt idx="28">
                <c:v>58</c:v>
              </c:pt>
              <c:pt idx="29">
                <c:v>72</c:v>
              </c:pt>
              <c:pt idx="30">
                <c:v>40</c:v>
              </c:pt>
              <c:pt idx="31">
                <c:v>57</c:v>
              </c:pt>
              <c:pt idx="32">
                <c:v>72</c:v>
              </c:pt>
              <c:pt idx="33">
                <c:v>58</c:v>
              </c:pt>
              <c:pt idx="34">
                <c:v>72</c:v>
              </c:pt>
              <c:pt idx="35">
                <c:v>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B287-4A6F-AD96-00EB7E92DDC7}"/>
            </c:ext>
          </c:extLst>
        </c:ser>
        <c:ser>
          <c:idx val="3"/>
          <c:order val="3"/>
          <c:tx>
            <c:v>Braced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83</c:v>
              </c:pt>
              <c:pt idx="3">
                <c:v>89</c:v>
              </c:pt>
              <c:pt idx="4">
                <c:v>79</c:v>
              </c:pt>
              <c:pt idx="5">
                <c:v>49</c:v>
              </c:pt>
              <c:pt idx="15">
                <c:v>84</c:v>
              </c:pt>
              <c:pt idx="16">
                <c:v>85</c:v>
              </c:pt>
              <c:pt idx="17">
                <c:v>85</c:v>
              </c:pt>
              <c:pt idx="18">
                <c:v>91</c:v>
              </c:pt>
              <c:pt idx="19">
                <c:v>91</c:v>
              </c:pt>
              <c:pt idx="20">
                <c:v>49</c:v>
              </c:pt>
              <c:pt idx="22">
                <c:v>90</c:v>
              </c:pt>
              <c:pt idx="23">
                <c:v>95</c:v>
              </c:pt>
              <c:pt idx="24">
                <c:v>84</c:v>
              </c:pt>
              <c:pt idx="25">
                <c:v>50</c:v>
              </c:pt>
              <c:pt idx="26">
                <c:v>83</c:v>
              </c:pt>
              <c:pt idx="27">
                <c:v>89</c:v>
              </c:pt>
              <c:pt idx="28">
                <c:v>78</c:v>
              </c:pt>
              <c:pt idx="29">
                <c:v>47</c:v>
              </c:pt>
              <c:pt idx="30">
                <c:v>89</c:v>
              </c:pt>
              <c:pt idx="31">
                <c:v>78</c:v>
              </c:pt>
              <c:pt idx="32">
                <c:v>48</c:v>
              </c:pt>
              <c:pt idx="33">
                <c:v>78</c:v>
              </c:pt>
              <c:pt idx="34">
                <c:v>48</c:v>
              </c:pt>
              <c:pt idx="35">
                <c:v>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B287-4A6F-AD96-00EB7E92DDC7}"/>
            </c:ext>
          </c:extLst>
        </c:ser>
        <c:ser>
          <c:idx val="4"/>
          <c:order val="4"/>
          <c:tx>
            <c:v>Shear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28</c:v>
              </c:pt>
              <c:pt idx="1">
                <c:v>48</c:v>
              </c:pt>
              <c:pt idx="6">
                <c:v>27</c:v>
              </c:pt>
              <c:pt idx="7">
                <c:v>28</c:v>
              </c:pt>
              <c:pt idx="8">
                <c:v>30</c:v>
              </c:pt>
              <c:pt idx="9">
                <c:v>27</c:v>
              </c:pt>
              <c:pt idx="10">
                <c:v>27</c:v>
              </c:pt>
              <c:pt idx="11">
                <c:v>26</c:v>
              </c:pt>
              <c:pt idx="12">
                <c:v>26</c:v>
              </c:pt>
              <c:pt idx="13">
                <c:v>26</c:v>
              </c:pt>
              <c:pt idx="14">
                <c:v>26</c:v>
              </c:pt>
              <c:pt idx="21">
                <c:v>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B287-4A6F-AD96-00EB7E92DDC7}"/>
            </c:ext>
          </c:extLst>
        </c:ser>
        <c:ser>
          <c:idx val="6"/>
          <c:order val="5"/>
          <c:tx>
            <c:v>Moment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32</c:v>
              </c:pt>
              <c:pt idx="1">
                <c:v>38</c:v>
              </c:pt>
              <c:pt idx="6">
                <c:v>32</c:v>
              </c:pt>
              <c:pt idx="7">
                <c:v>32</c:v>
              </c:pt>
              <c:pt idx="8">
                <c:v>29</c:v>
              </c:pt>
              <c:pt idx="9">
                <c:v>31</c:v>
              </c:pt>
              <c:pt idx="10">
                <c:v>31</c:v>
              </c:pt>
              <c:pt idx="11">
                <c:v>20</c:v>
              </c:pt>
              <c:pt idx="12">
                <c:v>20</c:v>
              </c:pt>
              <c:pt idx="13">
                <c:v>21</c:v>
              </c:pt>
              <c:pt idx="14">
                <c:v>21</c:v>
              </c:pt>
              <c:pt idx="21">
                <c:v>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B287-4A6F-AD96-00EB7E92DDC7}"/>
            </c:ext>
          </c:extLst>
        </c:ser>
        <c:ser>
          <c:idx val="7"/>
          <c:order val="6"/>
          <c:tx>
            <c:v>Drift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50</c:v>
              </c:pt>
              <c:pt idx="1">
                <c:v>45</c:v>
              </c:pt>
              <c:pt idx="2">
                <c:v>57</c:v>
              </c:pt>
              <c:pt idx="3">
                <c:v>48</c:v>
              </c:pt>
              <c:pt idx="4">
                <c:v>71</c:v>
              </c:pt>
              <c:pt idx="5">
                <c:v>85</c:v>
              </c:pt>
              <c:pt idx="6">
                <c:v>51</c:v>
              </c:pt>
              <c:pt idx="7">
                <c:v>52</c:v>
              </c:pt>
              <c:pt idx="8">
                <c:v>43</c:v>
              </c:pt>
              <c:pt idx="9">
                <c:v>48</c:v>
              </c:pt>
              <c:pt idx="10">
                <c:v>48</c:v>
              </c:pt>
              <c:pt idx="11">
                <c:v>26</c:v>
              </c:pt>
              <c:pt idx="12">
                <c:v>26</c:v>
              </c:pt>
              <c:pt idx="13">
                <c:v>27</c:v>
              </c:pt>
              <c:pt idx="14">
                <c:v>27</c:v>
              </c:pt>
              <c:pt idx="15">
                <c:v>57</c:v>
              </c:pt>
              <c:pt idx="16">
                <c:v>58</c:v>
              </c:pt>
              <c:pt idx="17">
                <c:v>58</c:v>
              </c:pt>
              <c:pt idx="18">
                <c:v>48</c:v>
              </c:pt>
              <c:pt idx="19">
                <c:v>49</c:v>
              </c:pt>
              <c:pt idx="20">
                <c:v>84</c:v>
              </c:pt>
              <c:pt idx="21">
                <c:v>47</c:v>
              </c:pt>
              <c:pt idx="22">
                <c:v>50</c:v>
              </c:pt>
              <c:pt idx="23">
                <c:v>51</c:v>
              </c:pt>
              <c:pt idx="24">
                <c:v>74</c:v>
              </c:pt>
              <c:pt idx="25">
                <c:v>88</c:v>
              </c:pt>
              <c:pt idx="26">
                <c:v>56</c:v>
              </c:pt>
              <c:pt idx="27">
                <c:v>48</c:v>
              </c:pt>
              <c:pt idx="28">
                <c:v>69</c:v>
              </c:pt>
              <c:pt idx="29">
                <c:v>84</c:v>
              </c:pt>
              <c:pt idx="30">
                <c:v>48</c:v>
              </c:pt>
              <c:pt idx="31">
                <c:v>69</c:v>
              </c:pt>
              <c:pt idx="32">
                <c:v>83</c:v>
              </c:pt>
              <c:pt idx="33">
                <c:v>70</c:v>
              </c:pt>
              <c:pt idx="34">
                <c:v>83</c:v>
              </c:pt>
              <c:pt idx="35">
                <c:v>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B287-4A6F-AD96-00EB7E92DDC7}"/>
            </c:ext>
          </c:extLst>
        </c:ser>
        <c:ser>
          <c:idx val="8"/>
          <c:order val="7"/>
          <c:tx>
            <c:v>Braced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17</c:v>
              </c:pt>
              <c:pt idx="3">
                <c:v>18</c:v>
              </c:pt>
              <c:pt idx="4">
                <c:v>16</c:v>
              </c:pt>
              <c:pt idx="5">
                <c:v>25</c:v>
              </c:pt>
              <c:pt idx="15">
                <c:v>17</c:v>
              </c:pt>
              <c:pt idx="16">
                <c:v>17</c:v>
              </c:pt>
              <c:pt idx="17">
                <c:v>17</c:v>
              </c:pt>
              <c:pt idx="18">
                <c:v>18</c:v>
              </c:pt>
              <c:pt idx="19">
                <c:v>18</c:v>
              </c:pt>
              <c:pt idx="20">
                <c:v>25</c:v>
              </c:pt>
              <c:pt idx="22">
                <c:v>18</c:v>
              </c:pt>
              <c:pt idx="23">
                <c:v>19</c:v>
              </c:pt>
              <c:pt idx="24">
                <c:v>17</c:v>
              </c:pt>
              <c:pt idx="25">
                <c:v>26</c:v>
              </c:pt>
              <c:pt idx="26">
                <c:v>16</c:v>
              </c:pt>
              <c:pt idx="27">
                <c:v>18</c:v>
              </c:pt>
              <c:pt idx="28">
                <c:v>16</c:v>
              </c:pt>
              <c:pt idx="29">
                <c:v>25</c:v>
              </c:pt>
              <c:pt idx="30">
                <c:v>18</c:v>
              </c:pt>
              <c:pt idx="31">
                <c:v>16</c:v>
              </c:pt>
              <c:pt idx="32">
                <c:v>24</c:v>
              </c:pt>
              <c:pt idx="33">
                <c:v>16</c:v>
              </c:pt>
              <c:pt idx="34">
                <c:v>25</c:v>
              </c:pt>
              <c:pt idx="35">
                <c:v>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F-B287-4A6F-AD96-00EB7E92DDC7}"/>
            </c:ext>
          </c:extLst>
        </c:ser>
        <c:ser>
          <c:idx val="9"/>
          <c:order val="8"/>
          <c:tx>
            <c:v>Shear (U)y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67</c:v>
              </c:pt>
              <c:pt idx="1">
                <c:v>88</c:v>
              </c:pt>
              <c:pt idx="6">
                <c:v>50</c:v>
              </c:pt>
              <c:pt idx="21">
                <c:v>66</c:v>
              </c:pt>
              <c:pt idx="22">
                <c:v>66</c:v>
              </c:pt>
              <c:pt idx="23">
                <c:v>66</c:v>
              </c:pt>
              <c:pt idx="24">
                <c:v>67</c:v>
              </c:pt>
              <c:pt idx="25">
                <c:v>67</c:v>
              </c:pt>
              <c:pt idx="26">
                <c:v>47</c:v>
              </c:pt>
              <c:pt idx="27">
                <c:v>47</c:v>
              </c:pt>
              <c:pt idx="28">
                <c:v>47</c:v>
              </c:pt>
              <c:pt idx="29">
                <c:v>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2-B287-4A6F-AD96-00EB7E92DDC7}"/>
            </c:ext>
          </c:extLst>
        </c:ser>
        <c:ser>
          <c:idx val="10"/>
          <c:order val="9"/>
          <c:tx>
            <c:v>Moment (U)y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98</c:v>
              </c:pt>
              <c:pt idx="1">
                <c:v>80</c:v>
              </c:pt>
              <c:pt idx="6">
                <c:v>64</c:v>
              </c:pt>
              <c:pt idx="21">
                <c:v>98</c:v>
              </c:pt>
              <c:pt idx="22">
                <c:v>97</c:v>
              </c:pt>
              <c:pt idx="23">
                <c:v>98</c:v>
              </c:pt>
              <c:pt idx="24">
                <c:v>99</c:v>
              </c:pt>
              <c:pt idx="25">
                <c:v>100</c:v>
              </c:pt>
              <c:pt idx="26">
                <c:v>59</c:v>
              </c:pt>
              <c:pt idx="27">
                <c:v>60</c:v>
              </c:pt>
              <c:pt idx="28">
                <c:v>60</c:v>
              </c:pt>
              <c:pt idx="29">
                <c:v>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4-B287-4A6F-AD96-00EB7E92DDC7}"/>
            </c:ext>
          </c:extLst>
        </c:ser>
        <c:ser>
          <c:idx val="11"/>
          <c:order val="10"/>
          <c:tx>
            <c:v>Drift (U)y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77</c:v>
              </c:pt>
              <c:pt idx="1">
                <c:v>37</c:v>
              </c:pt>
              <c:pt idx="2">
                <c:v>48</c:v>
              </c:pt>
              <c:pt idx="3">
                <c:v>41</c:v>
              </c:pt>
              <c:pt idx="4">
                <c:v>60</c:v>
              </c:pt>
              <c:pt idx="5">
                <c:v>75</c:v>
              </c:pt>
              <c:pt idx="6">
                <c:v>23</c:v>
              </c:pt>
              <c:pt idx="7">
                <c:v>42</c:v>
              </c:pt>
              <c:pt idx="8">
                <c:v>44</c:v>
              </c:pt>
              <c:pt idx="9">
                <c:v>63</c:v>
              </c:pt>
              <c:pt idx="10">
                <c:v>76</c:v>
              </c:pt>
              <c:pt idx="11">
                <c:v>48</c:v>
              </c:pt>
              <c:pt idx="12">
                <c:v>41</c:v>
              </c:pt>
              <c:pt idx="13">
                <c:v>59</c:v>
              </c:pt>
              <c:pt idx="14">
                <c:v>73</c:v>
              </c:pt>
              <c:pt idx="15">
                <c:v>41</c:v>
              </c:pt>
              <c:pt idx="16">
                <c:v>59</c:v>
              </c:pt>
              <c:pt idx="17">
                <c:v>74</c:v>
              </c:pt>
              <c:pt idx="18">
                <c:v>59</c:v>
              </c:pt>
              <c:pt idx="19">
                <c:v>75</c:v>
              </c:pt>
              <c:pt idx="20">
                <c:v>61</c:v>
              </c:pt>
              <c:pt idx="21">
                <c:v>80</c:v>
              </c:pt>
              <c:pt idx="22">
                <c:v>79</c:v>
              </c:pt>
              <c:pt idx="23">
                <c:v>80</c:v>
              </c:pt>
              <c:pt idx="24">
                <c:v>80</c:v>
              </c:pt>
              <c:pt idx="25">
                <c:v>81</c:v>
              </c:pt>
              <c:pt idx="26">
                <c:v>21</c:v>
              </c:pt>
              <c:pt idx="27">
                <c:v>21</c:v>
              </c:pt>
              <c:pt idx="28">
                <c:v>22</c:v>
              </c:pt>
              <c:pt idx="29">
                <c:v>22</c:v>
              </c:pt>
              <c:pt idx="30">
                <c:v>48</c:v>
              </c:pt>
              <c:pt idx="31">
                <c:v>41</c:v>
              </c:pt>
              <c:pt idx="32">
                <c:v>41</c:v>
              </c:pt>
              <c:pt idx="33">
                <c:v>41</c:v>
              </c:pt>
              <c:pt idx="34">
                <c:v>42</c:v>
              </c:pt>
              <c:pt idx="35">
                <c:v>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6-B287-4A6F-AD96-00EB7E92DDC7}"/>
            </c:ext>
          </c:extLst>
        </c:ser>
        <c:ser>
          <c:idx val="12"/>
          <c:order val="11"/>
          <c:tx>
            <c:v>Braced (U)y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86</c:v>
              </c:pt>
              <c:pt idx="3">
                <c:v>92</c:v>
              </c:pt>
              <c:pt idx="4">
                <c:v>82</c:v>
              </c:pt>
              <c:pt idx="5">
                <c:v>51</c:v>
              </c:pt>
              <c:pt idx="7">
                <c:v>93</c:v>
              </c:pt>
              <c:pt idx="8">
                <c:v>98</c:v>
              </c:pt>
              <c:pt idx="9">
                <c:v>86</c:v>
              </c:pt>
              <c:pt idx="10">
                <c:v>52</c:v>
              </c:pt>
              <c:pt idx="11">
                <c:v>85</c:v>
              </c:pt>
              <c:pt idx="12">
                <c:v>91</c:v>
              </c:pt>
              <c:pt idx="13">
                <c:v>80</c:v>
              </c:pt>
              <c:pt idx="14">
                <c:v>49</c:v>
              </c:pt>
              <c:pt idx="15">
                <c:v>92</c:v>
              </c:pt>
              <c:pt idx="16">
                <c:v>80</c:v>
              </c:pt>
              <c:pt idx="17">
                <c:v>50</c:v>
              </c:pt>
              <c:pt idx="18">
                <c:v>81</c:v>
              </c:pt>
              <c:pt idx="19">
                <c:v>50</c:v>
              </c:pt>
              <c:pt idx="20">
                <c:v>82</c:v>
              </c:pt>
              <c:pt idx="30">
                <c:v>86</c:v>
              </c:pt>
              <c:pt idx="31">
                <c:v>88</c:v>
              </c:pt>
              <c:pt idx="32">
                <c:v>89</c:v>
              </c:pt>
              <c:pt idx="33">
                <c:v>93</c:v>
              </c:pt>
              <c:pt idx="34">
                <c:v>94</c:v>
              </c:pt>
              <c:pt idx="35">
                <c:v>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8-B287-4A6F-AD96-00EB7E92DDC7}"/>
            </c:ext>
          </c:extLst>
        </c:ser>
        <c:ser>
          <c:idx val="13"/>
          <c:order val="12"/>
          <c:tx>
            <c:v>Shear (S)y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27</c:v>
              </c:pt>
              <c:pt idx="1">
                <c:v>50</c:v>
              </c:pt>
              <c:pt idx="6">
                <c:v>28</c:v>
              </c:pt>
              <c:pt idx="21">
                <c:v>27</c:v>
              </c:pt>
              <c:pt idx="22">
                <c:v>27</c:v>
              </c:pt>
              <c:pt idx="23">
                <c:v>27</c:v>
              </c:pt>
              <c:pt idx="24">
                <c:v>27</c:v>
              </c:pt>
              <c:pt idx="25">
                <c:v>28</c:v>
              </c:pt>
              <c:pt idx="26">
                <c:v>26</c:v>
              </c:pt>
              <c:pt idx="27">
                <c:v>27</c:v>
              </c:pt>
              <c:pt idx="28">
                <c:v>27</c:v>
              </c:pt>
              <c:pt idx="29">
                <c:v>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9-B287-4A6F-AD96-00EB7E92DDC7}"/>
            </c:ext>
          </c:extLst>
        </c:ser>
        <c:ser>
          <c:idx val="14"/>
          <c:order val="13"/>
          <c:tx>
            <c:v>Moment (S)y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31</c:v>
              </c:pt>
              <c:pt idx="1">
                <c:v>40</c:v>
              </c:pt>
              <c:pt idx="6">
                <c:v>22</c:v>
              </c:pt>
              <c:pt idx="21">
                <c:v>31</c:v>
              </c:pt>
              <c:pt idx="22">
                <c:v>31</c:v>
              </c:pt>
              <c:pt idx="23">
                <c:v>31</c:v>
              </c:pt>
              <c:pt idx="24">
                <c:v>31</c:v>
              </c:pt>
              <c:pt idx="25">
                <c:v>31</c:v>
              </c:pt>
              <c:pt idx="26">
                <c:v>21</c:v>
              </c:pt>
              <c:pt idx="27">
                <c:v>21</c:v>
              </c:pt>
              <c:pt idx="28">
                <c:v>21</c:v>
              </c:pt>
              <c:pt idx="29">
                <c:v>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B-B287-4A6F-AD96-00EB7E92DDC7}"/>
            </c:ext>
          </c:extLst>
        </c:ser>
        <c:ser>
          <c:idx val="15"/>
          <c:order val="14"/>
          <c:tx>
            <c:v>Drift (S)y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47</c:v>
              </c:pt>
              <c:pt idx="1">
                <c:v>46</c:v>
              </c:pt>
              <c:pt idx="2">
                <c:v>58</c:v>
              </c:pt>
              <c:pt idx="3">
                <c:v>49</c:v>
              </c:pt>
              <c:pt idx="4">
                <c:v>72</c:v>
              </c:pt>
              <c:pt idx="5">
                <c:v>87</c:v>
              </c:pt>
              <c:pt idx="6">
                <c:v>29</c:v>
              </c:pt>
              <c:pt idx="7">
                <c:v>51</c:v>
              </c:pt>
              <c:pt idx="8">
                <c:v>53</c:v>
              </c:pt>
              <c:pt idx="9">
                <c:v>76</c:v>
              </c:pt>
              <c:pt idx="10">
                <c:v>90</c:v>
              </c:pt>
              <c:pt idx="11">
                <c:v>58</c:v>
              </c:pt>
              <c:pt idx="12">
                <c:v>49</c:v>
              </c:pt>
              <c:pt idx="13">
                <c:v>71</c:v>
              </c:pt>
              <c:pt idx="14">
                <c:v>85</c:v>
              </c:pt>
              <c:pt idx="15">
                <c:v>49</c:v>
              </c:pt>
              <c:pt idx="16">
                <c:v>71</c:v>
              </c:pt>
              <c:pt idx="17">
                <c:v>85</c:v>
              </c:pt>
              <c:pt idx="18">
                <c:v>72</c:v>
              </c:pt>
              <c:pt idx="19">
                <c:v>86</c:v>
              </c:pt>
              <c:pt idx="20">
                <c:v>73</c:v>
              </c:pt>
              <c:pt idx="21">
                <c:v>49</c:v>
              </c:pt>
              <c:pt idx="22">
                <c:v>48</c:v>
              </c:pt>
              <c:pt idx="23">
                <c:v>49</c:v>
              </c:pt>
              <c:pt idx="24">
                <c:v>49</c:v>
              </c:pt>
              <c:pt idx="25">
                <c:v>49</c:v>
              </c:pt>
              <c:pt idx="26">
                <c:v>27</c:v>
              </c:pt>
              <c:pt idx="27">
                <c:v>27</c:v>
              </c:pt>
              <c:pt idx="28">
                <c:v>27</c:v>
              </c:pt>
              <c:pt idx="29">
                <c:v>27</c:v>
              </c:pt>
              <c:pt idx="30">
                <c:v>48</c:v>
              </c:pt>
              <c:pt idx="31">
                <c:v>49</c:v>
              </c:pt>
              <c:pt idx="32">
                <c:v>49</c:v>
              </c:pt>
              <c:pt idx="33">
                <c:v>50</c:v>
              </c:pt>
              <c:pt idx="34">
                <c:v>50</c:v>
              </c:pt>
              <c:pt idx="35">
                <c:v>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C-B287-4A6F-AD96-00EB7E92DDC7}"/>
            </c:ext>
          </c:extLst>
        </c:ser>
        <c:ser>
          <c:idx val="16"/>
          <c:order val="15"/>
          <c:tx>
            <c:v>Braced (S)y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17</c:v>
              </c:pt>
              <c:pt idx="3">
                <c:v>18</c:v>
              </c:pt>
              <c:pt idx="4">
                <c:v>16</c:v>
              </c:pt>
              <c:pt idx="5">
                <c:v>26</c:v>
              </c:pt>
              <c:pt idx="7">
                <c:v>19</c:v>
              </c:pt>
              <c:pt idx="8">
                <c:v>20</c:v>
              </c:pt>
              <c:pt idx="9">
                <c:v>17</c:v>
              </c:pt>
              <c:pt idx="10">
                <c:v>27</c:v>
              </c:pt>
              <c:pt idx="11">
                <c:v>17</c:v>
              </c:pt>
              <c:pt idx="12">
                <c:v>18</c:v>
              </c:pt>
              <c:pt idx="13">
                <c:v>16</c:v>
              </c:pt>
              <c:pt idx="14">
                <c:v>25</c:v>
              </c:pt>
              <c:pt idx="15">
                <c:v>18</c:v>
              </c:pt>
              <c:pt idx="16">
                <c:v>16</c:v>
              </c:pt>
              <c:pt idx="17">
                <c:v>25</c:v>
              </c:pt>
              <c:pt idx="18">
                <c:v>16</c:v>
              </c:pt>
              <c:pt idx="19">
                <c:v>25</c:v>
              </c:pt>
              <c:pt idx="20">
                <c:v>17</c:v>
              </c:pt>
              <c:pt idx="30">
                <c:v>17</c:v>
              </c:pt>
              <c:pt idx="31">
                <c:v>18</c:v>
              </c:pt>
              <c:pt idx="32">
                <c:v>18</c:v>
              </c:pt>
              <c:pt idx="33">
                <c:v>19</c:v>
              </c:pt>
              <c:pt idx="34">
                <c:v>19</c:v>
              </c:pt>
              <c:pt idx="35">
                <c:v>26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D-B287-4A6F-AD96-00EB7E92D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237264"/>
        <c:axId val="1286246864"/>
      </c:lineChart>
      <c:catAx>
        <c:axId val="128623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46864"/>
        <c:crosses val="autoZero"/>
        <c:auto val="1"/>
        <c:lblAlgn val="ctr"/>
        <c:lblOffset val="100"/>
        <c:noMultiLvlLbl val="0"/>
      </c:catAx>
      <c:valAx>
        <c:axId val="12862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3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820929271083497E-2"/>
          <c:y val="0.70892075722918579"/>
          <c:w val="0.9487800154755478"/>
          <c:h val="0.27208351701307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978044106264623E-2"/>
          <c:y val="3.9243913368896245E-2"/>
          <c:w val="0.91153376800504637"/>
          <c:h val="0.60464135885484205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66</c:v>
              </c:pt>
              <c:pt idx="1">
                <c:v>86</c:v>
              </c:pt>
              <c:pt idx="6">
                <c:v>64</c:v>
              </c:pt>
              <c:pt idx="7">
                <c:v>65</c:v>
              </c:pt>
              <c:pt idx="8">
                <c:v>73</c:v>
              </c:pt>
              <c:pt idx="9">
                <c:v>65</c:v>
              </c:pt>
              <c:pt idx="10">
                <c:v>66</c:v>
              </c:pt>
              <c:pt idx="11">
                <c:v>46</c:v>
              </c:pt>
              <c:pt idx="12">
                <c:v>46</c:v>
              </c:pt>
              <c:pt idx="13">
                <c:v>46</c:v>
              </c:pt>
              <c:pt idx="14">
                <c:v>47</c:v>
              </c:pt>
              <c:pt idx="21">
                <c:v>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655-49B3-8A1E-263041E0B9BB}"/>
            </c:ext>
          </c:extLst>
        </c:ser>
        <c:ser>
          <c:idx val="1"/>
          <c:order val="1"/>
          <c:tx>
            <c:v>Moment (U)x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98</c:v>
              </c:pt>
              <c:pt idx="1">
                <c:v>77</c:v>
              </c:pt>
              <c:pt idx="6">
                <c:v>95</c:v>
              </c:pt>
              <c:pt idx="7">
                <c:v>98</c:v>
              </c:pt>
              <c:pt idx="8">
                <c:v>96</c:v>
              </c:pt>
              <c:pt idx="9">
                <c:v>96</c:v>
              </c:pt>
              <c:pt idx="10">
                <c:v>97</c:v>
              </c:pt>
              <c:pt idx="11">
                <c:v>58</c:v>
              </c:pt>
              <c:pt idx="12">
                <c:v>58</c:v>
              </c:pt>
              <c:pt idx="13">
                <c:v>59</c:v>
              </c:pt>
              <c:pt idx="14">
                <c:v>59</c:v>
              </c:pt>
              <c:pt idx="21">
                <c:v>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655-49B3-8A1E-263041E0B9BB}"/>
            </c:ext>
          </c:extLst>
        </c:ser>
        <c:ser>
          <c:idx val="2"/>
          <c:order val="2"/>
          <c:tx>
            <c:v>Drift (U)x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80</c:v>
              </c:pt>
              <c:pt idx="1">
                <c:v>36</c:v>
              </c:pt>
              <c:pt idx="2">
                <c:v>47</c:v>
              </c:pt>
              <c:pt idx="3">
                <c:v>40</c:v>
              </c:pt>
              <c:pt idx="4">
                <c:v>59</c:v>
              </c:pt>
              <c:pt idx="5">
                <c:v>74</c:v>
              </c:pt>
              <c:pt idx="6">
                <c:v>81</c:v>
              </c:pt>
              <c:pt idx="7">
                <c:v>83</c:v>
              </c:pt>
              <c:pt idx="8">
                <c:v>68</c:v>
              </c:pt>
              <c:pt idx="9">
                <c:v>79</c:v>
              </c:pt>
              <c:pt idx="10">
                <c:v>79</c:v>
              </c:pt>
              <c:pt idx="11">
                <c:v>21</c:v>
              </c:pt>
              <c:pt idx="12">
                <c:v>21</c:v>
              </c:pt>
              <c:pt idx="13">
                <c:v>21</c:v>
              </c:pt>
              <c:pt idx="14">
                <c:v>21</c:v>
              </c:pt>
              <c:pt idx="15">
                <c:v>47</c:v>
              </c:pt>
              <c:pt idx="16">
                <c:v>48</c:v>
              </c:pt>
              <c:pt idx="17">
                <c:v>48</c:v>
              </c:pt>
              <c:pt idx="18">
                <c:v>40</c:v>
              </c:pt>
              <c:pt idx="19">
                <c:v>41</c:v>
              </c:pt>
              <c:pt idx="20">
                <c:v>73</c:v>
              </c:pt>
              <c:pt idx="21">
                <c:v>38</c:v>
              </c:pt>
              <c:pt idx="22">
                <c:v>41</c:v>
              </c:pt>
              <c:pt idx="23">
                <c:v>42</c:v>
              </c:pt>
              <c:pt idx="24">
                <c:v>61</c:v>
              </c:pt>
              <c:pt idx="25">
                <c:v>74</c:v>
              </c:pt>
              <c:pt idx="26">
                <c:v>47</c:v>
              </c:pt>
              <c:pt idx="27">
                <c:v>40</c:v>
              </c:pt>
              <c:pt idx="28">
                <c:v>58</c:v>
              </c:pt>
              <c:pt idx="29">
                <c:v>72</c:v>
              </c:pt>
              <c:pt idx="30">
                <c:v>40</c:v>
              </c:pt>
              <c:pt idx="31">
                <c:v>57</c:v>
              </c:pt>
              <c:pt idx="32">
                <c:v>72</c:v>
              </c:pt>
              <c:pt idx="33">
                <c:v>58</c:v>
              </c:pt>
              <c:pt idx="34">
                <c:v>72</c:v>
              </c:pt>
              <c:pt idx="35">
                <c:v>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655-49B3-8A1E-263041E0B9BB}"/>
            </c:ext>
          </c:extLst>
        </c:ser>
        <c:ser>
          <c:idx val="3"/>
          <c:order val="3"/>
          <c:tx>
            <c:v>Braced (U)x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83</c:v>
              </c:pt>
              <c:pt idx="3">
                <c:v>89</c:v>
              </c:pt>
              <c:pt idx="4">
                <c:v>79</c:v>
              </c:pt>
              <c:pt idx="5">
                <c:v>49</c:v>
              </c:pt>
              <c:pt idx="15">
                <c:v>84</c:v>
              </c:pt>
              <c:pt idx="16">
                <c:v>85</c:v>
              </c:pt>
              <c:pt idx="17">
                <c:v>85</c:v>
              </c:pt>
              <c:pt idx="18">
                <c:v>91</c:v>
              </c:pt>
              <c:pt idx="19">
                <c:v>91</c:v>
              </c:pt>
              <c:pt idx="20">
                <c:v>49</c:v>
              </c:pt>
              <c:pt idx="22">
                <c:v>90</c:v>
              </c:pt>
              <c:pt idx="23">
                <c:v>95</c:v>
              </c:pt>
              <c:pt idx="24">
                <c:v>84</c:v>
              </c:pt>
              <c:pt idx="25">
                <c:v>50</c:v>
              </c:pt>
              <c:pt idx="26">
                <c:v>83</c:v>
              </c:pt>
              <c:pt idx="27">
                <c:v>89</c:v>
              </c:pt>
              <c:pt idx="28">
                <c:v>78</c:v>
              </c:pt>
              <c:pt idx="29">
                <c:v>47</c:v>
              </c:pt>
              <c:pt idx="30">
                <c:v>89</c:v>
              </c:pt>
              <c:pt idx="31">
                <c:v>78</c:v>
              </c:pt>
              <c:pt idx="32">
                <c:v>48</c:v>
              </c:pt>
              <c:pt idx="33">
                <c:v>78</c:v>
              </c:pt>
              <c:pt idx="34">
                <c:v>48</c:v>
              </c:pt>
              <c:pt idx="35">
                <c:v>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655-49B3-8A1E-263041E0B9BB}"/>
            </c:ext>
          </c:extLst>
        </c:ser>
        <c:ser>
          <c:idx val="4"/>
          <c:order val="4"/>
          <c:tx>
            <c:v>Shear (S)x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28</c:v>
              </c:pt>
              <c:pt idx="1">
                <c:v>48</c:v>
              </c:pt>
              <c:pt idx="6">
                <c:v>27</c:v>
              </c:pt>
              <c:pt idx="7">
                <c:v>28</c:v>
              </c:pt>
              <c:pt idx="8">
                <c:v>30</c:v>
              </c:pt>
              <c:pt idx="9">
                <c:v>27</c:v>
              </c:pt>
              <c:pt idx="10">
                <c:v>27</c:v>
              </c:pt>
              <c:pt idx="11">
                <c:v>26</c:v>
              </c:pt>
              <c:pt idx="12">
                <c:v>26</c:v>
              </c:pt>
              <c:pt idx="13">
                <c:v>26</c:v>
              </c:pt>
              <c:pt idx="14">
                <c:v>26</c:v>
              </c:pt>
              <c:pt idx="21">
                <c:v>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A655-49B3-8A1E-263041E0B9BB}"/>
            </c:ext>
          </c:extLst>
        </c:ser>
        <c:ser>
          <c:idx val="6"/>
          <c:order val="5"/>
          <c:tx>
            <c:v>Moment (S)x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32</c:v>
              </c:pt>
              <c:pt idx="1">
                <c:v>38</c:v>
              </c:pt>
              <c:pt idx="6">
                <c:v>32</c:v>
              </c:pt>
              <c:pt idx="7">
                <c:v>32</c:v>
              </c:pt>
              <c:pt idx="8">
                <c:v>29</c:v>
              </c:pt>
              <c:pt idx="9">
                <c:v>31</c:v>
              </c:pt>
              <c:pt idx="10">
                <c:v>31</c:v>
              </c:pt>
              <c:pt idx="11">
                <c:v>20</c:v>
              </c:pt>
              <c:pt idx="12">
                <c:v>20</c:v>
              </c:pt>
              <c:pt idx="13">
                <c:v>21</c:v>
              </c:pt>
              <c:pt idx="14">
                <c:v>21</c:v>
              </c:pt>
              <c:pt idx="21">
                <c:v>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A655-49B3-8A1E-263041E0B9BB}"/>
            </c:ext>
          </c:extLst>
        </c:ser>
        <c:ser>
          <c:idx val="7"/>
          <c:order val="6"/>
          <c:tx>
            <c:v>Drift (S)x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50</c:v>
              </c:pt>
              <c:pt idx="1">
                <c:v>45</c:v>
              </c:pt>
              <c:pt idx="2">
                <c:v>57</c:v>
              </c:pt>
              <c:pt idx="3">
                <c:v>48</c:v>
              </c:pt>
              <c:pt idx="4">
                <c:v>71</c:v>
              </c:pt>
              <c:pt idx="5">
                <c:v>85</c:v>
              </c:pt>
              <c:pt idx="6">
                <c:v>51</c:v>
              </c:pt>
              <c:pt idx="7">
                <c:v>52</c:v>
              </c:pt>
              <c:pt idx="8">
                <c:v>43</c:v>
              </c:pt>
              <c:pt idx="9">
                <c:v>48</c:v>
              </c:pt>
              <c:pt idx="10">
                <c:v>48</c:v>
              </c:pt>
              <c:pt idx="11">
                <c:v>26</c:v>
              </c:pt>
              <c:pt idx="12">
                <c:v>26</c:v>
              </c:pt>
              <c:pt idx="13">
                <c:v>27</c:v>
              </c:pt>
              <c:pt idx="14">
                <c:v>27</c:v>
              </c:pt>
              <c:pt idx="15">
                <c:v>57</c:v>
              </c:pt>
              <c:pt idx="16">
                <c:v>58</c:v>
              </c:pt>
              <c:pt idx="17">
                <c:v>58</c:v>
              </c:pt>
              <c:pt idx="18">
                <c:v>48</c:v>
              </c:pt>
              <c:pt idx="19">
                <c:v>49</c:v>
              </c:pt>
              <c:pt idx="20">
                <c:v>84</c:v>
              </c:pt>
              <c:pt idx="21">
                <c:v>47</c:v>
              </c:pt>
              <c:pt idx="22">
                <c:v>50</c:v>
              </c:pt>
              <c:pt idx="23">
                <c:v>51</c:v>
              </c:pt>
              <c:pt idx="24">
                <c:v>74</c:v>
              </c:pt>
              <c:pt idx="25">
                <c:v>88</c:v>
              </c:pt>
              <c:pt idx="26">
                <c:v>56</c:v>
              </c:pt>
              <c:pt idx="27">
                <c:v>48</c:v>
              </c:pt>
              <c:pt idx="28">
                <c:v>69</c:v>
              </c:pt>
              <c:pt idx="29">
                <c:v>84</c:v>
              </c:pt>
              <c:pt idx="30">
                <c:v>48</c:v>
              </c:pt>
              <c:pt idx="31">
                <c:v>69</c:v>
              </c:pt>
              <c:pt idx="32">
                <c:v>83</c:v>
              </c:pt>
              <c:pt idx="33">
                <c:v>70</c:v>
              </c:pt>
              <c:pt idx="34">
                <c:v>83</c:v>
              </c:pt>
              <c:pt idx="35">
                <c:v>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A655-49B3-8A1E-263041E0B9BB}"/>
            </c:ext>
          </c:extLst>
        </c:ser>
        <c:ser>
          <c:idx val="8"/>
          <c:order val="7"/>
          <c:tx>
            <c:v>Braced (S)x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17</c:v>
              </c:pt>
              <c:pt idx="3">
                <c:v>18</c:v>
              </c:pt>
              <c:pt idx="4">
                <c:v>16</c:v>
              </c:pt>
              <c:pt idx="5">
                <c:v>25</c:v>
              </c:pt>
              <c:pt idx="15">
                <c:v>17</c:v>
              </c:pt>
              <c:pt idx="16">
                <c:v>17</c:v>
              </c:pt>
              <c:pt idx="17">
                <c:v>17</c:v>
              </c:pt>
              <c:pt idx="18">
                <c:v>18</c:v>
              </c:pt>
              <c:pt idx="19">
                <c:v>18</c:v>
              </c:pt>
              <c:pt idx="20">
                <c:v>25</c:v>
              </c:pt>
              <c:pt idx="22">
                <c:v>18</c:v>
              </c:pt>
              <c:pt idx="23">
                <c:v>19</c:v>
              </c:pt>
              <c:pt idx="24">
                <c:v>17</c:v>
              </c:pt>
              <c:pt idx="25">
                <c:v>26</c:v>
              </c:pt>
              <c:pt idx="26">
                <c:v>16</c:v>
              </c:pt>
              <c:pt idx="27">
                <c:v>18</c:v>
              </c:pt>
              <c:pt idx="28">
                <c:v>16</c:v>
              </c:pt>
              <c:pt idx="29">
                <c:v>25</c:v>
              </c:pt>
              <c:pt idx="30">
                <c:v>18</c:v>
              </c:pt>
              <c:pt idx="31">
                <c:v>16</c:v>
              </c:pt>
              <c:pt idx="32">
                <c:v>24</c:v>
              </c:pt>
              <c:pt idx="33">
                <c:v>16</c:v>
              </c:pt>
              <c:pt idx="34">
                <c:v>25</c:v>
              </c:pt>
              <c:pt idx="35">
                <c:v>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A655-49B3-8A1E-263041E0B9BB}"/>
            </c:ext>
          </c:extLst>
        </c:ser>
        <c:ser>
          <c:idx val="9"/>
          <c:order val="8"/>
          <c:tx>
            <c:v>Shear (U)y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67</c:v>
              </c:pt>
              <c:pt idx="1">
                <c:v>88</c:v>
              </c:pt>
              <c:pt idx="6">
                <c:v>50</c:v>
              </c:pt>
              <c:pt idx="21">
                <c:v>66</c:v>
              </c:pt>
              <c:pt idx="22">
                <c:v>66</c:v>
              </c:pt>
              <c:pt idx="23">
                <c:v>66</c:v>
              </c:pt>
              <c:pt idx="24">
                <c:v>67</c:v>
              </c:pt>
              <c:pt idx="25">
                <c:v>67</c:v>
              </c:pt>
              <c:pt idx="26">
                <c:v>47</c:v>
              </c:pt>
              <c:pt idx="27">
                <c:v>47</c:v>
              </c:pt>
              <c:pt idx="28">
                <c:v>47</c:v>
              </c:pt>
              <c:pt idx="29">
                <c:v>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A655-49B3-8A1E-263041E0B9BB}"/>
            </c:ext>
          </c:extLst>
        </c:ser>
        <c:ser>
          <c:idx val="10"/>
          <c:order val="9"/>
          <c:tx>
            <c:v>Moment (U)y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98</c:v>
              </c:pt>
              <c:pt idx="1">
                <c:v>80</c:v>
              </c:pt>
              <c:pt idx="6">
                <c:v>64</c:v>
              </c:pt>
              <c:pt idx="21">
                <c:v>98</c:v>
              </c:pt>
              <c:pt idx="22">
                <c:v>97</c:v>
              </c:pt>
              <c:pt idx="23">
                <c:v>98</c:v>
              </c:pt>
              <c:pt idx="24">
                <c:v>99</c:v>
              </c:pt>
              <c:pt idx="25">
                <c:v>100</c:v>
              </c:pt>
              <c:pt idx="26">
                <c:v>59</c:v>
              </c:pt>
              <c:pt idx="27">
                <c:v>60</c:v>
              </c:pt>
              <c:pt idx="28">
                <c:v>60</c:v>
              </c:pt>
              <c:pt idx="29">
                <c:v>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A655-49B3-8A1E-263041E0B9BB}"/>
            </c:ext>
          </c:extLst>
        </c:ser>
        <c:ser>
          <c:idx val="11"/>
          <c:order val="10"/>
          <c:tx>
            <c:v>Drift (U)y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77</c:v>
              </c:pt>
              <c:pt idx="1">
                <c:v>37</c:v>
              </c:pt>
              <c:pt idx="2">
                <c:v>48</c:v>
              </c:pt>
              <c:pt idx="3">
                <c:v>41</c:v>
              </c:pt>
              <c:pt idx="4">
                <c:v>60</c:v>
              </c:pt>
              <c:pt idx="5">
                <c:v>75</c:v>
              </c:pt>
              <c:pt idx="6">
                <c:v>23</c:v>
              </c:pt>
              <c:pt idx="7">
                <c:v>42</c:v>
              </c:pt>
              <c:pt idx="8">
                <c:v>44</c:v>
              </c:pt>
              <c:pt idx="9">
                <c:v>63</c:v>
              </c:pt>
              <c:pt idx="10">
                <c:v>76</c:v>
              </c:pt>
              <c:pt idx="11">
                <c:v>48</c:v>
              </c:pt>
              <c:pt idx="12">
                <c:v>41</c:v>
              </c:pt>
              <c:pt idx="13">
                <c:v>59</c:v>
              </c:pt>
              <c:pt idx="14">
                <c:v>73</c:v>
              </c:pt>
              <c:pt idx="15">
                <c:v>41</c:v>
              </c:pt>
              <c:pt idx="16">
                <c:v>59</c:v>
              </c:pt>
              <c:pt idx="17">
                <c:v>74</c:v>
              </c:pt>
              <c:pt idx="18">
                <c:v>59</c:v>
              </c:pt>
              <c:pt idx="19">
                <c:v>75</c:v>
              </c:pt>
              <c:pt idx="20">
                <c:v>61</c:v>
              </c:pt>
              <c:pt idx="21">
                <c:v>80</c:v>
              </c:pt>
              <c:pt idx="22">
                <c:v>79</c:v>
              </c:pt>
              <c:pt idx="23">
                <c:v>80</c:v>
              </c:pt>
              <c:pt idx="24">
                <c:v>80</c:v>
              </c:pt>
              <c:pt idx="25">
                <c:v>81</c:v>
              </c:pt>
              <c:pt idx="26">
                <c:v>21</c:v>
              </c:pt>
              <c:pt idx="27">
                <c:v>21</c:v>
              </c:pt>
              <c:pt idx="28">
                <c:v>22</c:v>
              </c:pt>
              <c:pt idx="29">
                <c:v>22</c:v>
              </c:pt>
              <c:pt idx="30">
                <c:v>48</c:v>
              </c:pt>
              <c:pt idx="31">
                <c:v>41</c:v>
              </c:pt>
              <c:pt idx="32">
                <c:v>41</c:v>
              </c:pt>
              <c:pt idx="33">
                <c:v>41</c:v>
              </c:pt>
              <c:pt idx="34">
                <c:v>42</c:v>
              </c:pt>
              <c:pt idx="35">
                <c:v>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A655-49B3-8A1E-263041E0B9BB}"/>
            </c:ext>
          </c:extLst>
        </c:ser>
        <c:ser>
          <c:idx val="12"/>
          <c:order val="11"/>
          <c:tx>
            <c:v>Braced (U)y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86</c:v>
              </c:pt>
              <c:pt idx="3">
                <c:v>92</c:v>
              </c:pt>
              <c:pt idx="4">
                <c:v>82</c:v>
              </c:pt>
              <c:pt idx="5">
                <c:v>51</c:v>
              </c:pt>
              <c:pt idx="7">
                <c:v>93</c:v>
              </c:pt>
              <c:pt idx="8">
                <c:v>98</c:v>
              </c:pt>
              <c:pt idx="9">
                <c:v>86</c:v>
              </c:pt>
              <c:pt idx="10">
                <c:v>52</c:v>
              </c:pt>
              <c:pt idx="11">
                <c:v>85</c:v>
              </c:pt>
              <c:pt idx="12">
                <c:v>91</c:v>
              </c:pt>
              <c:pt idx="13">
                <c:v>80</c:v>
              </c:pt>
              <c:pt idx="14">
                <c:v>49</c:v>
              </c:pt>
              <c:pt idx="15">
                <c:v>92</c:v>
              </c:pt>
              <c:pt idx="16">
                <c:v>80</c:v>
              </c:pt>
              <c:pt idx="17">
                <c:v>50</c:v>
              </c:pt>
              <c:pt idx="18">
                <c:v>81</c:v>
              </c:pt>
              <c:pt idx="19">
                <c:v>50</c:v>
              </c:pt>
              <c:pt idx="20">
                <c:v>82</c:v>
              </c:pt>
              <c:pt idx="30">
                <c:v>86</c:v>
              </c:pt>
              <c:pt idx="31">
                <c:v>88</c:v>
              </c:pt>
              <c:pt idx="32">
                <c:v>89</c:v>
              </c:pt>
              <c:pt idx="33">
                <c:v>93</c:v>
              </c:pt>
              <c:pt idx="34">
                <c:v>94</c:v>
              </c:pt>
              <c:pt idx="35">
                <c:v>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A655-49B3-8A1E-263041E0B9BB}"/>
            </c:ext>
          </c:extLst>
        </c:ser>
        <c:ser>
          <c:idx val="13"/>
          <c:order val="12"/>
          <c:tx>
            <c:v>Shear (S)y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27</c:v>
              </c:pt>
              <c:pt idx="1">
                <c:v>50</c:v>
              </c:pt>
              <c:pt idx="6">
                <c:v>28</c:v>
              </c:pt>
              <c:pt idx="21">
                <c:v>27</c:v>
              </c:pt>
              <c:pt idx="22">
                <c:v>27</c:v>
              </c:pt>
              <c:pt idx="23">
                <c:v>27</c:v>
              </c:pt>
              <c:pt idx="24">
                <c:v>27</c:v>
              </c:pt>
              <c:pt idx="25">
                <c:v>28</c:v>
              </c:pt>
              <c:pt idx="26">
                <c:v>26</c:v>
              </c:pt>
              <c:pt idx="27">
                <c:v>27</c:v>
              </c:pt>
              <c:pt idx="28">
                <c:v>27</c:v>
              </c:pt>
              <c:pt idx="29">
                <c:v>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A655-49B3-8A1E-263041E0B9BB}"/>
            </c:ext>
          </c:extLst>
        </c:ser>
        <c:ser>
          <c:idx val="14"/>
          <c:order val="13"/>
          <c:tx>
            <c:v>Moment (S)y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31</c:v>
              </c:pt>
              <c:pt idx="1">
                <c:v>40</c:v>
              </c:pt>
              <c:pt idx="6">
                <c:v>22</c:v>
              </c:pt>
              <c:pt idx="21">
                <c:v>31</c:v>
              </c:pt>
              <c:pt idx="22">
                <c:v>31</c:v>
              </c:pt>
              <c:pt idx="23">
                <c:v>31</c:v>
              </c:pt>
              <c:pt idx="24">
                <c:v>31</c:v>
              </c:pt>
              <c:pt idx="25">
                <c:v>31</c:v>
              </c:pt>
              <c:pt idx="26">
                <c:v>21</c:v>
              </c:pt>
              <c:pt idx="27">
                <c:v>21</c:v>
              </c:pt>
              <c:pt idx="28">
                <c:v>21</c:v>
              </c:pt>
              <c:pt idx="29">
                <c:v>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A655-49B3-8A1E-263041E0B9BB}"/>
            </c:ext>
          </c:extLst>
        </c:ser>
        <c:ser>
          <c:idx val="15"/>
          <c:order val="14"/>
          <c:tx>
            <c:v>Drift (S)y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0">
                <c:v>47</c:v>
              </c:pt>
              <c:pt idx="1">
                <c:v>46</c:v>
              </c:pt>
              <c:pt idx="2">
                <c:v>58</c:v>
              </c:pt>
              <c:pt idx="3">
                <c:v>49</c:v>
              </c:pt>
              <c:pt idx="4">
                <c:v>72</c:v>
              </c:pt>
              <c:pt idx="5">
                <c:v>87</c:v>
              </c:pt>
              <c:pt idx="6">
                <c:v>29</c:v>
              </c:pt>
              <c:pt idx="7">
                <c:v>51</c:v>
              </c:pt>
              <c:pt idx="8">
                <c:v>53</c:v>
              </c:pt>
              <c:pt idx="9">
                <c:v>76</c:v>
              </c:pt>
              <c:pt idx="10">
                <c:v>90</c:v>
              </c:pt>
              <c:pt idx="11">
                <c:v>58</c:v>
              </c:pt>
              <c:pt idx="12">
                <c:v>49</c:v>
              </c:pt>
              <c:pt idx="13">
                <c:v>71</c:v>
              </c:pt>
              <c:pt idx="14">
                <c:v>85</c:v>
              </c:pt>
              <c:pt idx="15">
                <c:v>49</c:v>
              </c:pt>
              <c:pt idx="16">
                <c:v>71</c:v>
              </c:pt>
              <c:pt idx="17">
                <c:v>85</c:v>
              </c:pt>
              <c:pt idx="18">
                <c:v>72</c:v>
              </c:pt>
              <c:pt idx="19">
                <c:v>86</c:v>
              </c:pt>
              <c:pt idx="20">
                <c:v>73</c:v>
              </c:pt>
              <c:pt idx="21">
                <c:v>49</c:v>
              </c:pt>
              <c:pt idx="22">
                <c:v>48</c:v>
              </c:pt>
              <c:pt idx="23">
                <c:v>49</c:v>
              </c:pt>
              <c:pt idx="24">
                <c:v>49</c:v>
              </c:pt>
              <c:pt idx="25">
                <c:v>49</c:v>
              </c:pt>
              <c:pt idx="26">
                <c:v>27</c:v>
              </c:pt>
              <c:pt idx="27">
                <c:v>27</c:v>
              </c:pt>
              <c:pt idx="28">
                <c:v>27</c:v>
              </c:pt>
              <c:pt idx="29">
                <c:v>27</c:v>
              </c:pt>
              <c:pt idx="30">
                <c:v>48</c:v>
              </c:pt>
              <c:pt idx="31">
                <c:v>49</c:v>
              </c:pt>
              <c:pt idx="32">
                <c:v>49</c:v>
              </c:pt>
              <c:pt idx="33">
                <c:v>50</c:v>
              </c:pt>
              <c:pt idx="34">
                <c:v>50</c:v>
              </c:pt>
              <c:pt idx="35">
                <c:v>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E-A655-49B3-8A1E-263041E0B9BB}"/>
            </c:ext>
          </c:extLst>
        </c:ser>
        <c:ser>
          <c:idx val="16"/>
          <c:order val="15"/>
          <c:tx>
            <c:v>Braced (S)y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0.4 MFRC-MFRC</c:v>
              </c:pt>
              <c:pt idx="1">
                <c:v>0.4 MFST-MFST</c:v>
              </c:pt>
              <c:pt idx="2">
                <c:v>0.4 BFCOST-BFCOST</c:v>
              </c:pt>
              <c:pt idx="3">
                <c:v>0.4 BFCTST-BFCTST</c:v>
              </c:pt>
              <c:pt idx="4">
                <c:v>0.4 BFIVST-BFIVST</c:v>
              </c:pt>
              <c:pt idx="5">
                <c:v>0.4 BFECST-BFECST</c:v>
              </c:pt>
              <c:pt idx="6">
                <c:v>0.4 MFRC-MFST</c:v>
              </c:pt>
              <c:pt idx="7">
                <c:v>0.4 MFRC-BFCOST</c:v>
              </c:pt>
              <c:pt idx="8">
                <c:v>0.4 MFRC-BFCTST</c:v>
              </c:pt>
              <c:pt idx="9">
                <c:v>0.4 MFRC-BFIVST</c:v>
              </c:pt>
              <c:pt idx="10">
                <c:v>0.4 MFRC-BFECST</c:v>
              </c:pt>
              <c:pt idx="11">
                <c:v>0.4 MFST-BFCOST</c:v>
              </c:pt>
              <c:pt idx="12">
                <c:v>0.4 MFST-BFCTST</c:v>
              </c:pt>
              <c:pt idx="13">
                <c:v>0.4 MFST-BFIVST</c:v>
              </c:pt>
              <c:pt idx="14">
                <c:v>0.4 MFST-BFECST</c:v>
              </c:pt>
              <c:pt idx="15">
                <c:v>0.4 BFCOST-BFCTST</c:v>
              </c:pt>
              <c:pt idx="16">
                <c:v>0.4 BFCOST-BFIVST</c:v>
              </c:pt>
              <c:pt idx="17">
                <c:v>0.4 BFCOST-BFECST</c:v>
              </c:pt>
              <c:pt idx="18">
                <c:v>0.4 BFCTST-BFIVST</c:v>
              </c:pt>
              <c:pt idx="19">
                <c:v>0.4 BFCTST-BFECST</c:v>
              </c:pt>
              <c:pt idx="20">
                <c:v>0.4 BFECST-BFIVST</c:v>
              </c:pt>
              <c:pt idx="21">
                <c:v>0.4 MFST-MFRC</c:v>
              </c:pt>
              <c:pt idx="22">
                <c:v>0.4 BFCOST-MFRC</c:v>
              </c:pt>
              <c:pt idx="23">
                <c:v>0.4 BFCTST-MFRC</c:v>
              </c:pt>
              <c:pt idx="24">
                <c:v>0.4 BFIVST-MFRC</c:v>
              </c:pt>
              <c:pt idx="25">
                <c:v>0.4 BFECST-MFRC</c:v>
              </c:pt>
              <c:pt idx="26">
                <c:v>0.4 BFCOST-MFST</c:v>
              </c:pt>
              <c:pt idx="27">
                <c:v>0.4 BFCTST-MFST</c:v>
              </c:pt>
              <c:pt idx="28">
                <c:v>0.4 BFIVST-MFST</c:v>
              </c:pt>
              <c:pt idx="29">
                <c:v>0.4 BFECST-MFST</c:v>
              </c:pt>
              <c:pt idx="30">
                <c:v>0.4 BFCTST-BFCOST</c:v>
              </c:pt>
              <c:pt idx="31">
                <c:v>0.4 BFIVST-BFCOST</c:v>
              </c:pt>
              <c:pt idx="32">
                <c:v>0.4 BFECST-BFCOST</c:v>
              </c:pt>
              <c:pt idx="33">
                <c:v>0.4 BFIVST-BFCTST</c:v>
              </c:pt>
              <c:pt idx="34">
                <c:v>0.4 BFECST-BFCTST</c:v>
              </c:pt>
              <c:pt idx="35">
                <c:v>0.4 BFIVST-BFECST</c:v>
              </c:pt>
            </c:strLit>
          </c:cat>
          <c:val>
            <c:numLit>
              <c:formatCode>General</c:formatCode>
              <c:ptCount val="36"/>
              <c:pt idx="2">
                <c:v>17</c:v>
              </c:pt>
              <c:pt idx="3">
                <c:v>18</c:v>
              </c:pt>
              <c:pt idx="4">
                <c:v>16</c:v>
              </c:pt>
              <c:pt idx="5">
                <c:v>26</c:v>
              </c:pt>
              <c:pt idx="7">
                <c:v>19</c:v>
              </c:pt>
              <c:pt idx="8">
                <c:v>20</c:v>
              </c:pt>
              <c:pt idx="9">
                <c:v>17</c:v>
              </c:pt>
              <c:pt idx="10">
                <c:v>27</c:v>
              </c:pt>
              <c:pt idx="11">
                <c:v>17</c:v>
              </c:pt>
              <c:pt idx="12">
                <c:v>18</c:v>
              </c:pt>
              <c:pt idx="13">
                <c:v>16</c:v>
              </c:pt>
              <c:pt idx="14">
                <c:v>25</c:v>
              </c:pt>
              <c:pt idx="15">
                <c:v>18</c:v>
              </c:pt>
              <c:pt idx="16">
                <c:v>16</c:v>
              </c:pt>
              <c:pt idx="17">
                <c:v>25</c:v>
              </c:pt>
              <c:pt idx="18">
                <c:v>16</c:v>
              </c:pt>
              <c:pt idx="19">
                <c:v>25</c:v>
              </c:pt>
              <c:pt idx="20">
                <c:v>17</c:v>
              </c:pt>
              <c:pt idx="30">
                <c:v>17</c:v>
              </c:pt>
              <c:pt idx="31">
                <c:v>18</c:v>
              </c:pt>
              <c:pt idx="32">
                <c:v>18</c:v>
              </c:pt>
              <c:pt idx="33">
                <c:v>19</c:v>
              </c:pt>
              <c:pt idx="34">
                <c:v>19</c:v>
              </c:pt>
              <c:pt idx="35">
                <c:v>26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F-A655-49B3-8A1E-263041E0B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237264"/>
        <c:axId val="1286246864"/>
      </c:lineChart>
      <c:catAx>
        <c:axId val="128623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46864"/>
        <c:crosses val="autoZero"/>
        <c:auto val="1"/>
        <c:lblAlgn val="ctr"/>
        <c:lblOffset val="100"/>
        <c:noMultiLvlLbl val="0"/>
      </c:catAx>
      <c:valAx>
        <c:axId val="128624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3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0025476712185673E-3"/>
          <c:y val="0.895297384061429"/>
          <c:w val="0.97111439148572076"/>
          <c:h val="8.7043705021233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020578330419017E-2"/>
          <c:y val="3.5569843014427942E-2"/>
          <c:w val="0.91541863653044919"/>
          <c:h val="0.60659342199820521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50</c:v>
              </c:pt>
              <c:pt idx="1">
                <c:v>74</c:v>
              </c:pt>
              <c:pt idx="6">
                <c:v>70</c:v>
              </c:pt>
              <c:pt idx="7">
                <c:v>71</c:v>
              </c:pt>
              <c:pt idx="8">
                <c:v>79</c:v>
              </c:pt>
              <c:pt idx="9">
                <c:v>48</c:v>
              </c:pt>
              <c:pt idx="10">
                <c:v>70</c:v>
              </c:pt>
              <c:pt idx="11">
                <c:v>56</c:v>
              </c:pt>
              <c:pt idx="12">
                <c:v>56</c:v>
              </c:pt>
              <c:pt idx="13">
                <c:v>57</c:v>
              </c:pt>
              <c:pt idx="14">
                <c:v>57</c:v>
              </c:pt>
              <c:pt idx="21">
                <c:v>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D55-4A7F-A5ED-C0CB906C7CB9}"/>
            </c:ext>
          </c:extLst>
        </c:ser>
        <c:ser>
          <c:idx val="1"/>
          <c:order val="1"/>
          <c:tx>
            <c:v>Moment (U)x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84</c:v>
              </c:pt>
              <c:pt idx="1">
                <c:v>53</c:v>
              </c:pt>
              <c:pt idx="6">
                <c:v>96</c:v>
              </c:pt>
              <c:pt idx="7">
                <c:v>98</c:v>
              </c:pt>
              <c:pt idx="8">
                <c:v>98</c:v>
              </c:pt>
              <c:pt idx="9">
                <c:v>80</c:v>
              </c:pt>
              <c:pt idx="10">
                <c:v>93</c:v>
              </c:pt>
              <c:pt idx="11">
                <c:v>71</c:v>
              </c:pt>
              <c:pt idx="12">
                <c:v>72</c:v>
              </c:pt>
              <c:pt idx="13">
                <c:v>73</c:v>
              </c:pt>
              <c:pt idx="14">
                <c:v>73</c:v>
              </c:pt>
              <c:pt idx="21">
                <c:v>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D55-4A7F-A5ED-C0CB906C7CB9}"/>
            </c:ext>
          </c:extLst>
        </c:ser>
        <c:ser>
          <c:idx val="2"/>
          <c:order val="2"/>
          <c:tx>
            <c:v>Drift (U)x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69</c:v>
              </c:pt>
              <c:pt idx="1">
                <c:v>28</c:v>
              </c:pt>
              <c:pt idx="2">
                <c:v>43</c:v>
              </c:pt>
              <c:pt idx="3">
                <c:v>43</c:v>
              </c:pt>
              <c:pt idx="4">
                <c:v>72</c:v>
              </c:pt>
              <c:pt idx="5">
                <c:v>86</c:v>
              </c:pt>
              <c:pt idx="6">
                <c:v>69</c:v>
              </c:pt>
              <c:pt idx="7">
                <c:v>70</c:v>
              </c:pt>
              <c:pt idx="8">
                <c:v>59</c:v>
              </c:pt>
              <c:pt idx="9">
                <c:v>66</c:v>
              </c:pt>
              <c:pt idx="10">
                <c:v>66</c:v>
              </c:pt>
              <c:pt idx="11">
                <c:v>25</c:v>
              </c:pt>
              <c:pt idx="12">
                <c:v>25</c:v>
              </c:pt>
              <c:pt idx="13">
                <c:v>26</c:v>
              </c:pt>
              <c:pt idx="14">
                <c:v>26</c:v>
              </c:pt>
              <c:pt idx="15">
                <c:v>43</c:v>
              </c:pt>
              <c:pt idx="16">
                <c:v>44</c:v>
              </c:pt>
              <c:pt idx="17">
                <c:v>44</c:v>
              </c:pt>
              <c:pt idx="18">
                <c:v>43</c:v>
              </c:pt>
              <c:pt idx="19">
                <c:v>44</c:v>
              </c:pt>
              <c:pt idx="20">
                <c:v>86</c:v>
              </c:pt>
              <c:pt idx="21">
                <c:v>30</c:v>
              </c:pt>
              <c:pt idx="22">
                <c:v>47</c:v>
              </c:pt>
              <c:pt idx="23">
                <c:v>46</c:v>
              </c:pt>
              <c:pt idx="24">
                <c:v>73</c:v>
              </c:pt>
              <c:pt idx="25">
                <c:v>86</c:v>
              </c:pt>
              <c:pt idx="26">
                <c:v>43</c:v>
              </c:pt>
              <c:pt idx="27">
                <c:v>43</c:v>
              </c:pt>
              <c:pt idx="28">
                <c:v>70</c:v>
              </c:pt>
              <c:pt idx="29">
                <c:v>84</c:v>
              </c:pt>
              <c:pt idx="30">
                <c:v>43</c:v>
              </c:pt>
              <c:pt idx="31">
                <c:v>70</c:v>
              </c:pt>
              <c:pt idx="32">
                <c:v>84</c:v>
              </c:pt>
              <c:pt idx="33">
                <c:v>71</c:v>
              </c:pt>
              <c:pt idx="34">
                <c:v>85</c:v>
              </c:pt>
              <c:pt idx="35">
                <c:v>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D55-4A7F-A5ED-C0CB906C7CB9}"/>
            </c:ext>
          </c:extLst>
        </c:ser>
        <c:ser>
          <c:idx val="3"/>
          <c:order val="3"/>
          <c:tx>
            <c:v>Braced (U)x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2">
                <c:v>56</c:v>
              </c:pt>
              <c:pt idx="3">
                <c:v>87</c:v>
              </c:pt>
              <c:pt idx="4">
                <c:v>99</c:v>
              </c:pt>
              <c:pt idx="5">
                <c:v>44</c:v>
              </c:pt>
              <c:pt idx="15">
                <c:v>57</c:v>
              </c:pt>
              <c:pt idx="16">
                <c:v>57</c:v>
              </c:pt>
              <c:pt idx="17">
                <c:v>58</c:v>
              </c:pt>
              <c:pt idx="18">
                <c:v>88</c:v>
              </c:pt>
              <c:pt idx="19">
                <c:v>88</c:v>
              </c:pt>
              <c:pt idx="20">
                <c:v>44</c:v>
              </c:pt>
              <c:pt idx="22">
                <c:v>61</c:v>
              </c:pt>
              <c:pt idx="23">
                <c:v>94</c:v>
              </c:pt>
              <c:pt idx="24">
                <c:v>70</c:v>
              </c:pt>
              <c:pt idx="25">
                <c:v>31</c:v>
              </c:pt>
              <c:pt idx="26">
                <c:v>56</c:v>
              </c:pt>
              <c:pt idx="27">
                <c:v>86</c:v>
              </c:pt>
              <c:pt idx="28">
                <c:v>97</c:v>
              </c:pt>
              <c:pt idx="29">
                <c:v>43</c:v>
              </c:pt>
              <c:pt idx="30">
                <c:v>86</c:v>
              </c:pt>
              <c:pt idx="31">
                <c:v>97</c:v>
              </c:pt>
              <c:pt idx="32">
                <c:v>43</c:v>
              </c:pt>
              <c:pt idx="33">
                <c:v>98</c:v>
              </c:pt>
              <c:pt idx="34">
                <c:v>43</c:v>
              </c:pt>
              <c:pt idx="35">
                <c:v>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D55-4A7F-A5ED-C0CB906C7CB9}"/>
            </c:ext>
          </c:extLst>
        </c:ser>
        <c:ser>
          <c:idx val="4"/>
          <c:order val="4"/>
          <c:tx>
            <c:v>Shear (S)x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36</c:v>
              </c:pt>
              <c:pt idx="1">
                <c:v>42</c:v>
              </c:pt>
              <c:pt idx="6">
                <c:v>27</c:v>
              </c:pt>
              <c:pt idx="7">
                <c:v>27</c:v>
              </c:pt>
              <c:pt idx="8">
                <c:v>30</c:v>
              </c:pt>
              <c:pt idx="9">
                <c:v>35</c:v>
              </c:pt>
              <c:pt idx="10">
                <c:v>27</c:v>
              </c:pt>
              <c:pt idx="11">
                <c:v>32</c:v>
              </c:pt>
              <c:pt idx="12">
                <c:v>32</c:v>
              </c:pt>
              <c:pt idx="13">
                <c:v>32</c:v>
              </c:pt>
              <c:pt idx="14">
                <c:v>33</c:v>
              </c:pt>
              <c:pt idx="21">
                <c:v>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3D55-4A7F-A5ED-C0CB906C7CB9}"/>
            </c:ext>
          </c:extLst>
        </c:ser>
        <c:ser>
          <c:idx val="5"/>
          <c:order val="5"/>
          <c:tx>
            <c:v>Moment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28</c:v>
              </c:pt>
              <c:pt idx="1">
                <c:v>27</c:v>
              </c:pt>
              <c:pt idx="6">
                <c:v>28</c:v>
              </c:pt>
              <c:pt idx="7">
                <c:v>28</c:v>
              </c:pt>
              <c:pt idx="8">
                <c:v>26</c:v>
              </c:pt>
              <c:pt idx="9">
                <c:v>27</c:v>
              </c:pt>
              <c:pt idx="10">
                <c:v>27</c:v>
              </c:pt>
              <c:pt idx="11">
                <c:v>25</c:v>
              </c:pt>
              <c:pt idx="12">
                <c:v>25</c:v>
              </c:pt>
              <c:pt idx="13">
                <c:v>26</c:v>
              </c:pt>
              <c:pt idx="14">
                <c:v>26</c:v>
              </c:pt>
              <c:pt idx="21">
                <c:v>29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3D55-4A7F-A5ED-C0CB906C7CB9}"/>
            </c:ext>
          </c:extLst>
        </c:ser>
        <c:ser>
          <c:idx val="6"/>
          <c:order val="6"/>
          <c:tx>
            <c:v>Drift (S)x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41</c:v>
              </c:pt>
              <c:pt idx="1">
                <c:v>36</c:v>
              </c:pt>
              <c:pt idx="2">
                <c:v>50</c:v>
              </c:pt>
              <c:pt idx="3">
                <c:v>52</c:v>
              </c:pt>
              <c:pt idx="4">
                <c:v>87</c:v>
              </c:pt>
              <c:pt idx="5">
                <c:v>97</c:v>
              </c:pt>
              <c:pt idx="6">
                <c:v>41</c:v>
              </c:pt>
              <c:pt idx="7">
                <c:v>41</c:v>
              </c:pt>
              <c:pt idx="8">
                <c:v>36</c:v>
              </c:pt>
              <c:pt idx="9">
                <c:v>39</c:v>
              </c:pt>
              <c:pt idx="10">
                <c:v>39</c:v>
              </c:pt>
              <c:pt idx="11">
                <c:v>32</c:v>
              </c:pt>
              <c:pt idx="12">
                <c:v>32</c:v>
              </c:pt>
              <c:pt idx="13">
                <c:v>33</c:v>
              </c:pt>
              <c:pt idx="14">
                <c:v>33</c:v>
              </c:pt>
              <c:pt idx="15">
                <c:v>50</c:v>
              </c:pt>
              <c:pt idx="16">
                <c:v>51</c:v>
              </c:pt>
              <c:pt idx="17">
                <c:v>51</c:v>
              </c:pt>
              <c:pt idx="18">
                <c:v>52</c:v>
              </c:pt>
              <c:pt idx="19">
                <c:v>53</c:v>
              </c:pt>
              <c:pt idx="20">
                <c:v>97</c:v>
              </c:pt>
              <c:pt idx="21">
                <c:v>38</c:v>
              </c:pt>
              <c:pt idx="22">
                <c:v>54</c:v>
              </c:pt>
              <c:pt idx="23">
                <c:v>55</c:v>
              </c:pt>
              <c:pt idx="24">
                <c:v>88</c:v>
              </c:pt>
              <c:pt idx="25">
                <c:v>97</c:v>
              </c:pt>
              <c:pt idx="26">
                <c:v>50</c:v>
              </c:pt>
              <c:pt idx="27">
                <c:v>51</c:v>
              </c:pt>
              <c:pt idx="28">
                <c:v>85</c:v>
              </c:pt>
              <c:pt idx="29">
                <c:v>95</c:v>
              </c:pt>
              <c:pt idx="30">
                <c:v>52</c:v>
              </c:pt>
              <c:pt idx="31">
                <c:v>85</c:v>
              </c:pt>
              <c:pt idx="32">
                <c:v>95</c:v>
              </c:pt>
              <c:pt idx="33">
                <c:v>86</c:v>
              </c:pt>
              <c:pt idx="34">
                <c:v>96</c:v>
              </c:pt>
              <c:pt idx="35">
                <c:v>87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3D55-4A7F-A5ED-C0CB906C7CB9}"/>
            </c:ext>
          </c:extLst>
        </c:ser>
        <c:ser>
          <c:idx val="7"/>
          <c:order val="7"/>
          <c:tx>
            <c:v>Braced (S)x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2">
                <c:v>11</c:v>
              </c:pt>
              <c:pt idx="3">
                <c:v>17</c:v>
              </c:pt>
              <c:pt idx="4">
                <c:v>20</c:v>
              </c:pt>
              <c:pt idx="5">
                <c:v>22</c:v>
              </c:pt>
              <c:pt idx="15">
                <c:v>11</c:v>
              </c:pt>
              <c:pt idx="16">
                <c:v>11</c:v>
              </c:pt>
              <c:pt idx="17">
                <c:v>11</c:v>
              </c:pt>
              <c:pt idx="18">
                <c:v>17</c:v>
              </c:pt>
              <c:pt idx="19">
                <c:v>18</c:v>
              </c:pt>
              <c:pt idx="20">
                <c:v>22</c:v>
              </c:pt>
              <c:pt idx="22">
                <c:v>12</c:v>
              </c:pt>
              <c:pt idx="23">
                <c:v>19</c:v>
              </c:pt>
              <c:pt idx="24">
                <c:v>14</c:v>
              </c:pt>
              <c:pt idx="25">
                <c:v>15</c:v>
              </c:pt>
              <c:pt idx="26">
                <c:v>11</c:v>
              </c:pt>
              <c:pt idx="27">
                <c:v>17</c:v>
              </c:pt>
              <c:pt idx="28">
                <c:v>19</c:v>
              </c:pt>
              <c:pt idx="29">
                <c:v>21</c:v>
              </c:pt>
              <c:pt idx="30">
                <c:v>17</c:v>
              </c:pt>
              <c:pt idx="31">
                <c:v>19</c:v>
              </c:pt>
              <c:pt idx="32">
                <c:v>21</c:v>
              </c:pt>
              <c:pt idx="33">
                <c:v>20</c:v>
              </c:pt>
              <c:pt idx="34">
                <c:v>22</c:v>
              </c:pt>
              <c:pt idx="35">
                <c:v>20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3D55-4A7F-A5ED-C0CB906C7CB9}"/>
            </c:ext>
          </c:extLst>
        </c:ser>
        <c:ser>
          <c:idx val="8"/>
          <c:order val="8"/>
          <c:tx>
            <c:v>Shear (U)y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72</c:v>
              </c:pt>
              <c:pt idx="1">
                <c:v>77</c:v>
              </c:pt>
              <c:pt idx="6">
                <c:v>62</c:v>
              </c:pt>
              <c:pt idx="21">
                <c:v>70</c:v>
              </c:pt>
              <c:pt idx="22">
                <c:v>70</c:v>
              </c:pt>
              <c:pt idx="23">
                <c:v>70</c:v>
              </c:pt>
              <c:pt idx="24">
                <c:v>71</c:v>
              </c:pt>
              <c:pt idx="25">
                <c:v>71</c:v>
              </c:pt>
              <c:pt idx="26">
                <c:v>57</c:v>
              </c:pt>
              <c:pt idx="27">
                <c:v>58</c:v>
              </c:pt>
              <c:pt idx="28">
                <c:v>58</c:v>
              </c:pt>
              <c:pt idx="29">
                <c:v>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3D55-4A7F-A5ED-C0CB906C7CB9}"/>
            </c:ext>
          </c:extLst>
        </c:ser>
        <c:ser>
          <c:idx val="9"/>
          <c:order val="9"/>
          <c:tx>
            <c:v>Moment (U)y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96</c:v>
              </c:pt>
              <c:pt idx="1">
                <c:v>55</c:v>
              </c:pt>
              <c:pt idx="6">
                <c:v>79</c:v>
              </c:pt>
              <c:pt idx="21">
                <c:v>93</c:v>
              </c:pt>
              <c:pt idx="22">
                <c:v>93</c:v>
              </c:pt>
              <c:pt idx="23">
                <c:v>94</c:v>
              </c:pt>
              <c:pt idx="24">
                <c:v>95</c:v>
              </c:pt>
              <c:pt idx="25">
                <c:v>96</c:v>
              </c:pt>
              <c:pt idx="26">
                <c:v>73</c:v>
              </c:pt>
              <c:pt idx="27">
                <c:v>74</c:v>
              </c:pt>
              <c:pt idx="28">
                <c:v>74</c:v>
              </c:pt>
              <c:pt idx="29">
                <c:v>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3D55-4A7F-A5ED-C0CB906C7CB9}"/>
            </c:ext>
          </c:extLst>
        </c:ser>
        <c:ser>
          <c:idx val="10"/>
          <c:order val="10"/>
          <c:tx>
            <c:v>Drift (U)y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65</c:v>
              </c:pt>
              <c:pt idx="1">
                <c:v>29</c:v>
              </c:pt>
              <c:pt idx="2">
                <c:v>44</c:v>
              </c:pt>
              <c:pt idx="3">
                <c:v>44</c:v>
              </c:pt>
              <c:pt idx="4">
                <c:v>70</c:v>
              </c:pt>
              <c:pt idx="5">
                <c:v>88</c:v>
              </c:pt>
              <c:pt idx="6">
                <c:v>28</c:v>
              </c:pt>
              <c:pt idx="7">
                <c:v>47</c:v>
              </c:pt>
              <c:pt idx="8">
                <c:v>51</c:v>
              </c:pt>
              <c:pt idx="9">
                <c:v>74</c:v>
              </c:pt>
              <c:pt idx="10">
                <c:v>88</c:v>
              </c:pt>
              <c:pt idx="11">
                <c:v>44</c:v>
              </c:pt>
              <c:pt idx="12">
                <c:v>44</c:v>
              </c:pt>
              <c:pt idx="13">
                <c:v>72</c:v>
              </c:pt>
              <c:pt idx="14">
                <c:v>86</c:v>
              </c:pt>
              <c:pt idx="15">
                <c:v>44</c:v>
              </c:pt>
              <c:pt idx="16">
                <c:v>73</c:v>
              </c:pt>
              <c:pt idx="17">
                <c:v>87</c:v>
              </c:pt>
              <c:pt idx="18">
                <c:v>73</c:v>
              </c:pt>
              <c:pt idx="19">
                <c:v>86</c:v>
              </c:pt>
              <c:pt idx="20">
                <c:v>70</c:v>
              </c:pt>
              <c:pt idx="21">
                <c:v>66</c:v>
              </c:pt>
              <c:pt idx="22">
                <c:v>66</c:v>
              </c:pt>
              <c:pt idx="23">
                <c:v>66</c:v>
              </c:pt>
              <c:pt idx="24">
                <c:v>67</c:v>
              </c:pt>
              <c:pt idx="25">
                <c:v>67</c:v>
              </c:pt>
              <c:pt idx="26">
                <c:v>26</c:v>
              </c:pt>
              <c:pt idx="27">
                <c:v>26</c:v>
              </c:pt>
              <c:pt idx="28">
                <c:v>26</c:v>
              </c:pt>
              <c:pt idx="29">
                <c:v>26</c:v>
              </c:pt>
              <c:pt idx="30">
                <c:v>45</c:v>
              </c:pt>
              <c:pt idx="31">
                <c:v>45</c:v>
              </c:pt>
              <c:pt idx="32">
                <c:v>45</c:v>
              </c:pt>
              <c:pt idx="33">
                <c:v>45</c:v>
              </c:pt>
              <c:pt idx="34">
                <c:v>45</c:v>
              </c:pt>
              <c:pt idx="35">
                <c:v>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3D55-4A7F-A5ED-C0CB906C7CB9}"/>
            </c:ext>
          </c:extLst>
        </c:ser>
        <c:ser>
          <c:idx val="11"/>
          <c:order val="11"/>
          <c:tx>
            <c:v>Braced (U)y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2">
                <c:v>58</c:v>
              </c:pt>
              <c:pt idx="3">
                <c:v>89</c:v>
              </c:pt>
              <c:pt idx="4">
                <c:v>67</c:v>
              </c:pt>
              <c:pt idx="5">
                <c:v>45</c:v>
              </c:pt>
              <c:pt idx="7">
                <c:v>63</c:v>
              </c:pt>
              <c:pt idx="8">
                <c:v>99</c:v>
              </c:pt>
              <c:pt idx="9">
                <c:v>71</c:v>
              </c:pt>
              <c:pt idx="10">
                <c:v>32</c:v>
              </c:pt>
              <c:pt idx="11">
                <c:v>58</c:v>
              </c:pt>
              <c:pt idx="12">
                <c:v>88</c:v>
              </c:pt>
              <c:pt idx="13">
                <c:v>100</c:v>
              </c:pt>
              <c:pt idx="14">
                <c:v>44</c:v>
              </c:pt>
              <c:pt idx="15">
                <c:v>89</c:v>
              </c:pt>
              <c:pt idx="16">
                <c:v>100</c:v>
              </c:pt>
              <c:pt idx="17">
                <c:v>44</c:v>
              </c:pt>
              <c:pt idx="18">
                <c:v>101</c:v>
              </c:pt>
              <c:pt idx="19">
                <c:v>44</c:v>
              </c:pt>
              <c:pt idx="20">
                <c:v>67</c:v>
              </c:pt>
              <c:pt idx="30">
                <c:v>58</c:v>
              </c:pt>
              <c:pt idx="31">
                <c:v>59</c:v>
              </c:pt>
              <c:pt idx="32">
                <c:v>59</c:v>
              </c:pt>
              <c:pt idx="33">
                <c:v>90</c:v>
              </c:pt>
              <c:pt idx="34">
                <c:v>91</c:v>
              </c:pt>
              <c:pt idx="35">
                <c:v>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3D55-4A7F-A5ED-C0CB906C7CB9}"/>
            </c:ext>
          </c:extLst>
        </c:ser>
        <c:ser>
          <c:idx val="12"/>
          <c:order val="12"/>
          <c:tx>
            <c:v>Shear (S)y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28</c:v>
              </c:pt>
              <c:pt idx="1">
                <c:v>43</c:v>
              </c:pt>
              <c:pt idx="6">
                <c:v>35</c:v>
              </c:pt>
              <c:pt idx="21">
                <c:v>27</c:v>
              </c:pt>
              <c:pt idx="22">
                <c:v>27</c:v>
              </c:pt>
              <c:pt idx="23">
                <c:v>27</c:v>
              </c:pt>
              <c:pt idx="24">
                <c:v>27</c:v>
              </c:pt>
              <c:pt idx="25">
                <c:v>27</c:v>
              </c:pt>
              <c:pt idx="26">
                <c:v>33</c:v>
              </c:pt>
              <c:pt idx="27">
                <c:v>33</c:v>
              </c:pt>
              <c:pt idx="28">
                <c:v>33</c:v>
              </c:pt>
              <c:pt idx="29">
                <c:v>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3D55-4A7F-A5ED-C0CB906C7CB9}"/>
            </c:ext>
          </c:extLst>
        </c:ser>
        <c:ser>
          <c:idx val="13"/>
          <c:order val="13"/>
          <c:tx>
            <c:v>Moment (S)y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28</c:v>
              </c:pt>
              <c:pt idx="1">
                <c:v>27</c:v>
              </c:pt>
              <c:pt idx="6">
                <c:v>28</c:v>
              </c:pt>
              <c:pt idx="21">
                <c:v>27</c:v>
              </c:pt>
              <c:pt idx="22">
                <c:v>27</c:v>
              </c:pt>
              <c:pt idx="23">
                <c:v>27</c:v>
              </c:pt>
              <c:pt idx="24">
                <c:v>28</c:v>
              </c:pt>
              <c:pt idx="25">
                <c:v>28</c:v>
              </c:pt>
              <c:pt idx="26">
                <c:v>26</c:v>
              </c:pt>
              <c:pt idx="27">
                <c:v>26</c:v>
              </c:pt>
              <c:pt idx="28">
                <c:v>26</c:v>
              </c:pt>
              <c:pt idx="29">
                <c:v>26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3D55-4A7F-A5ED-C0CB906C7CB9}"/>
            </c:ext>
          </c:extLst>
        </c:ser>
        <c:ser>
          <c:idx val="14"/>
          <c:order val="14"/>
          <c:tx>
            <c:v>Drift (S)y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0">
                <c:v>39</c:v>
              </c:pt>
              <c:pt idx="1">
                <c:v>37</c:v>
              </c:pt>
              <c:pt idx="2">
                <c:v>51</c:v>
              </c:pt>
              <c:pt idx="3">
                <c:v>53</c:v>
              </c:pt>
              <c:pt idx="4">
                <c:v>84</c:v>
              </c:pt>
              <c:pt idx="5">
                <c:v>100</c:v>
              </c:pt>
              <c:pt idx="6">
                <c:v>36</c:v>
              </c:pt>
              <c:pt idx="7">
                <c:v>55</c:v>
              </c:pt>
              <c:pt idx="8">
                <c:v>61</c:v>
              </c:pt>
              <c:pt idx="9">
                <c:v>89</c:v>
              </c:pt>
              <c:pt idx="10">
                <c:v>99</c:v>
              </c:pt>
              <c:pt idx="11">
                <c:v>51</c:v>
              </c:pt>
              <c:pt idx="12">
                <c:v>53</c:v>
              </c:pt>
              <c:pt idx="13">
                <c:v>87</c:v>
              </c:pt>
              <c:pt idx="14">
                <c:v>89</c:v>
              </c:pt>
              <c:pt idx="15">
                <c:v>53</c:v>
              </c:pt>
              <c:pt idx="16">
                <c:v>88</c:v>
              </c:pt>
              <c:pt idx="17">
                <c:v>98</c:v>
              </c:pt>
              <c:pt idx="18">
                <c:v>88</c:v>
              </c:pt>
              <c:pt idx="19">
                <c:v>98</c:v>
              </c:pt>
              <c:pt idx="20">
                <c:v>85</c:v>
              </c:pt>
              <c:pt idx="21">
                <c:v>39</c:v>
              </c:pt>
              <c:pt idx="22">
                <c:v>93</c:v>
              </c:pt>
              <c:pt idx="23">
                <c:v>39</c:v>
              </c:pt>
              <c:pt idx="24">
                <c:v>39</c:v>
              </c:pt>
              <c:pt idx="25">
                <c:v>40</c:v>
              </c:pt>
              <c:pt idx="26">
                <c:v>33</c:v>
              </c:pt>
              <c:pt idx="27">
                <c:v>33</c:v>
              </c:pt>
              <c:pt idx="28">
                <c:v>33</c:v>
              </c:pt>
              <c:pt idx="29">
                <c:v>34</c:v>
              </c:pt>
              <c:pt idx="30">
                <c:v>52</c:v>
              </c:pt>
              <c:pt idx="31">
                <c:v>52</c:v>
              </c:pt>
              <c:pt idx="32">
                <c:v>52</c:v>
              </c:pt>
              <c:pt idx="33">
                <c:v>54</c:v>
              </c:pt>
              <c:pt idx="34">
                <c:v>54</c:v>
              </c:pt>
              <c:pt idx="35">
                <c:v>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E-3D55-4A7F-A5ED-C0CB906C7CB9}"/>
            </c:ext>
          </c:extLst>
        </c:ser>
        <c:ser>
          <c:idx val="15"/>
          <c:order val="15"/>
          <c:tx>
            <c:v>Braced (S)y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Lit>
              <c:ptCount val="36"/>
              <c:pt idx="0">
                <c:v>0.5 MFRC-MFRC</c:v>
              </c:pt>
              <c:pt idx="1">
                <c:v>0.5 MFST-MFST</c:v>
              </c:pt>
              <c:pt idx="2">
                <c:v>0.5 BFCOST-BFCOST</c:v>
              </c:pt>
              <c:pt idx="3">
                <c:v>0.5 BFCTST-BFCTST</c:v>
              </c:pt>
              <c:pt idx="4">
                <c:v>0.5 BFIVST-BFIVST</c:v>
              </c:pt>
              <c:pt idx="5">
                <c:v>0.5 BFECST-BFECST</c:v>
              </c:pt>
              <c:pt idx="6">
                <c:v>0.5 MFRC-MFST</c:v>
              </c:pt>
              <c:pt idx="7">
                <c:v>0.5 MFRC-BFCOST</c:v>
              </c:pt>
              <c:pt idx="8">
                <c:v>0.5 MFRC-BFCTST</c:v>
              </c:pt>
              <c:pt idx="9">
                <c:v>0.5 MFRC-BFIVST</c:v>
              </c:pt>
              <c:pt idx="10">
                <c:v>0.5 MFRC-BFECST</c:v>
              </c:pt>
              <c:pt idx="11">
                <c:v>0.5 MFST-BFCOST</c:v>
              </c:pt>
              <c:pt idx="12">
                <c:v>0.5 MFST-BFCTST</c:v>
              </c:pt>
              <c:pt idx="13">
                <c:v>0.5 MFST-BFIVST</c:v>
              </c:pt>
              <c:pt idx="14">
                <c:v>0.5 MFST-BFECST</c:v>
              </c:pt>
              <c:pt idx="15">
                <c:v>0.5 BFCOST-BFCTST</c:v>
              </c:pt>
              <c:pt idx="16">
                <c:v>0.5 BFCOST-BFIVST</c:v>
              </c:pt>
              <c:pt idx="17">
                <c:v>0.5 BFCOST-BFECST</c:v>
              </c:pt>
              <c:pt idx="18">
                <c:v>0.5 BFCTST-BFIVST</c:v>
              </c:pt>
              <c:pt idx="19">
                <c:v>0.5 BFCTST-BFECST</c:v>
              </c:pt>
              <c:pt idx="20">
                <c:v>0.5 BFECST-BFIVST</c:v>
              </c:pt>
              <c:pt idx="21">
                <c:v>0.5 MFST-MFRC</c:v>
              </c:pt>
              <c:pt idx="22">
                <c:v>0.5 BFCOST-MFRC</c:v>
              </c:pt>
              <c:pt idx="23">
                <c:v>0.5 BFCTST-MFRC</c:v>
              </c:pt>
              <c:pt idx="24">
                <c:v>0.5 BFIVST-MFRC</c:v>
              </c:pt>
              <c:pt idx="25">
                <c:v>0.5 BFECST-MFRC</c:v>
              </c:pt>
              <c:pt idx="26">
                <c:v>0.5 BFCOST-MFST</c:v>
              </c:pt>
              <c:pt idx="27">
                <c:v>0.5 BFCTST-MFST</c:v>
              </c:pt>
              <c:pt idx="28">
                <c:v>0.5 BFIVST-MFST</c:v>
              </c:pt>
              <c:pt idx="29">
                <c:v>0.5 BFECST-MFST</c:v>
              </c:pt>
              <c:pt idx="30">
                <c:v>0.5 BFCTST-BFCOST</c:v>
              </c:pt>
              <c:pt idx="31">
                <c:v>0.5 BFIVST-BFCOST</c:v>
              </c:pt>
              <c:pt idx="32">
                <c:v>0.5 BFECST-BFCOST</c:v>
              </c:pt>
              <c:pt idx="33">
                <c:v>0.5 BFIVST-BFCTST</c:v>
              </c:pt>
              <c:pt idx="34">
                <c:v>0.5 BFECST-BFCTST</c:v>
              </c:pt>
              <c:pt idx="35">
                <c:v>0.5 BFIVST-BFECST</c:v>
              </c:pt>
            </c:strLit>
          </c:cat>
          <c:val>
            <c:numLit>
              <c:formatCode>General</c:formatCode>
              <c:ptCount val="36"/>
              <c:pt idx="2">
                <c:v>11</c:v>
              </c:pt>
              <c:pt idx="3">
                <c:v>18</c:v>
              </c:pt>
              <c:pt idx="4">
                <c:v>13</c:v>
              </c:pt>
              <c:pt idx="5">
                <c:v>23</c:v>
              </c:pt>
              <c:pt idx="7">
                <c:v>12</c:v>
              </c:pt>
              <c:pt idx="8">
                <c:v>20</c:v>
              </c:pt>
              <c:pt idx="9">
                <c:v>14</c:v>
              </c:pt>
              <c:pt idx="10">
                <c:v>16</c:v>
              </c:pt>
              <c:pt idx="11">
                <c:v>11</c:v>
              </c:pt>
              <c:pt idx="12">
                <c:v>18</c:v>
              </c:pt>
              <c:pt idx="13">
                <c:v>20</c:v>
              </c:pt>
              <c:pt idx="14">
                <c:v>22</c:v>
              </c:pt>
              <c:pt idx="15">
                <c:v>18</c:v>
              </c:pt>
              <c:pt idx="16">
                <c:v>20</c:v>
              </c:pt>
              <c:pt idx="17">
                <c:v>22</c:v>
              </c:pt>
              <c:pt idx="18">
                <c:v>20</c:v>
              </c:pt>
              <c:pt idx="19">
                <c:v>22</c:v>
              </c:pt>
              <c:pt idx="20">
                <c:v>14</c:v>
              </c:pt>
              <c:pt idx="30">
                <c:v>11</c:v>
              </c:pt>
              <c:pt idx="31">
                <c:v>11</c:v>
              </c:pt>
              <c:pt idx="32">
                <c:v>11</c:v>
              </c:pt>
              <c:pt idx="33">
                <c:v>18</c:v>
              </c:pt>
              <c:pt idx="34">
                <c:v>18</c:v>
              </c:pt>
              <c:pt idx="35">
                <c:v>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F-3D55-4A7F-A5ED-C0CB906C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302752"/>
        <c:axId val="1100298432"/>
      </c:lineChart>
      <c:catAx>
        <c:axId val="110030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98432"/>
        <c:crosses val="autoZero"/>
        <c:auto val="1"/>
        <c:lblAlgn val="ctr"/>
        <c:lblOffset val="100"/>
        <c:noMultiLvlLbl val="0"/>
      </c:catAx>
      <c:valAx>
        <c:axId val="110029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0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0603950649924538E-3"/>
          <c:y val="0.89801690611641438"/>
          <c:w val="0.97301274458277898"/>
          <c:h val="8.7060071352810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281292901307172E-2"/>
          <c:y val="2.622824926666922E-2"/>
          <c:w val="0.91515897710734395"/>
          <c:h val="0.69533000099885967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rgbClr val="0070C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11</c:v>
              </c:pt>
              <c:pt idx="1">
                <c:v>11</c:v>
              </c:pt>
              <c:pt idx="2">
                <c:v>10</c:v>
              </c:pt>
              <c:pt idx="3">
                <c:v>11</c:v>
              </c:pt>
              <c:pt idx="4">
                <c:v>11</c:v>
              </c:pt>
              <c:pt idx="5">
                <c:v>11</c:v>
              </c:pt>
              <c:pt idx="6">
                <c:v>11</c:v>
              </c:pt>
              <c:pt idx="7">
                <c:v>99</c:v>
              </c:pt>
              <c:pt idx="8">
                <c:v>99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646-4713-A3A3-B9EA712A5D37}"/>
            </c:ext>
          </c:extLst>
        </c:ser>
        <c:ser>
          <c:idx val="1"/>
          <c:order val="1"/>
          <c:tx>
            <c:v>Moment (U)x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23</c:v>
              </c:pt>
              <c:pt idx="2">
                <c:v>22</c:v>
              </c:pt>
              <c:pt idx="3">
                <c:v>22</c:v>
              </c:pt>
              <c:pt idx="4">
                <c:v>22</c:v>
              </c:pt>
              <c:pt idx="5">
                <c:v>22</c:v>
              </c:pt>
              <c:pt idx="6">
                <c:v>23</c:v>
              </c:pt>
              <c:pt idx="7">
                <c:v>34</c:v>
              </c:pt>
              <c:pt idx="8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646-4713-A3A3-B9EA712A5D37}"/>
            </c:ext>
          </c:extLst>
        </c:ser>
        <c:ser>
          <c:idx val="2"/>
          <c:order val="2"/>
          <c:tx>
            <c:v>Drift (U)x</c:v>
          </c:tx>
          <c:spPr>
            <a:ln w="31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99</c:v>
              </c:pt>
              <c:pt idx="1">
                <c:v>99</c:v>
              </c:pt>
              <c:pt idx="2">
                <c:v>97</c:v>
              </c:pt>
              <c:pt idx="3">
                <c:v>96</c:v>
              </c:pt>
              <c:pt idx="4">
                <c:v>95</c:v>
              </c:pt>
              <c:pt idx="5">
                <c:v>97</c:v>
              </c:pt>
              <c:pt idx="6">
                <c:v>100</c:v>
              </c:pt>
              <c:pt idx="7">
                <c:v>43</c:v>
              </c:pt>
              <c:pt idx="8">
                <c:v>43</c:v>
              </c:pt>
              <c:pt idx="9">
                <c:v>42</c:v>
              </c:pt>
              <c:pt idx="10">
                <c:v>43</c:v>
              </c:pt>
              <c:pt idx="11">
                <c:v>62</c:v>
              </c:pt>
              <c:pt idx="12">
                <c:v>75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646-4713-A3A3-B9EA712A5D37}"/>
            </c:ext>
          </c:extLst>
        </c:ser>
        <c:ser>
          <c:idx val="3"/>
          <c:order val="3"/>
          <c:tx>
            <c:v>Braced (U)x</c:v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rgbClr val="00B0F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92</c:v>
              </c:pt>
              <c:pt idx="10">
                <c:v>97</c:v>
              </c:pt>
              <c:pt idx="11">
                <c:v>85</c:v>
              </c:pt>
              <c:pt idx="12">
                <c:v>51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646-4713-A3A3-B9EA712A5D37}"/>
            </c:ext>
          </c:extLst>
        </c:ser>
        <c:ser>
          <c:idx val="4"/>
          <c:order val="4"/>
          <c:tx>
            <c:v>Shear (S)x</c:v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5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7</c:v>
              </c:pt>
              <c:pt idx="7">
                <c:v>29</c:v>
              </c:pt>
              <c:pt idx="8">
                <c:v>55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646-4713-A3A3-B9EA712A5D37}"/>
            </c:ext>
          </c:extLst>
        </c:ser>
        <c:ser>
          <c:idx val="5"/>
          <c:order val="5"/>
          <c:tx>
            <c:v>Moment (S)x</c:v>
          </c:tx>
          <c:spPr>
            <a:ln w="31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21</c:v>
              </c:pt>
              <c:pt idx="2">
                <c:v>20</c:v>
              </c:pt>
              <c:pt idx="3">
                <c:v>19</c:v>
              </c:pt>
              <c:pt idx="4">
                <c:v>19</c:v>
              </c:pt>
              <c:pt idx="5">
                <c:v>19</c:v>
              </c:pt>
              <c:pt idx="6">
                <c:v>20</c:v>
              </c:pt>
              <c:pt idx="7">
                <c:v>19</c:v>
              </c:pt>
              <c:pt idx="8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646-4713-A3A3-B9EA712A5D37}"/>
            </c:ext>
          </c:extLst>
        </c:ser>
        <c:ser>
          <c:idx val="6"/>
          <c:order val="6"/>
          <c:tx>
            <c:v>Drift (S)x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49</c:v>
              </c:pt>
              <c:pt idx="2">
                <c:v>47</c:v>
              </c:pt>
              <c:pt idx="3">
                <c:v>46</c:v>
              </c:pt>
              <c:pt idx="4">
                <c:v>45</c:v>
              </c:pt>
              <c:pt idx="5">
                <c:v>46</c:v>
              </c:pt>
              <c:pt idx="6">
                <c:v>48</c:v>
              </c:pt>
              <c:pt idx="7">
                <c:v>31</c:v>
              </c:pt>
              <c:pt idx="8">
                <c:v>54</c:v>
              </c:pt>
              <c:pt idx="9">
                <c:v>51</c:v>
              </c:pt>
              <c:pt idx="10">
                <c:v>51</c:v>
              </c:pt>
              <c:pt idx="11">
                <c:v>75</c:v>
              </c:pt>
              <c:pt idx="12">
                <c:v>89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646-4713-A3A3-B9EA712A5D37}"/>
            </c:ext>
          </c:extLst>
        </c:ser>
        <c:ser>
          <c:idx val="7"/>
          <c:order val="7"/>
          <c:tx>
            <c:v>Braced (S)x</c:v>
          </c:tx>
          <c:spPr>
            <a:ln w="31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18</c:v>
              </c:pt>
              <c:pt idx="10">
                <c:v>19</c:v>
              </c:pt>
              <c:pt idx="11">
                <c:v>17</c:v>
              </c:pt>
              <c:pt idx="12">
                <c:v>27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646-4713-A3A3-B9EA712A5D37}"/>
            </c:ext>
          </c:extLst>
        </c:ser>
        <c:ser>
          <c:idx val="8"/>
          <c:order val="8"/>
          <c:tx>
            <c:v>Shear (U)y</c:v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12</c:v>
              </c:pt>
              <c:pt idx="1">
                <c:v>68</c:v>
              </c:pt>
              <c:pt idx="2">
                <c:v>51</c:v>
              </c:pt>
              <c:pt idx="7">
                <c:v>11</c:v>
              </c:pt>
              <c:pt idx="8">
                <c:v>11</c:v>
              </c:pt>
              <c:pt idx="9">
                <c:v>11</c:v>
              </c:pt>
              <c:pt idx="10">
                <c:v>11</c:v>
              </c:pt>
              <c:pt idx="11">
                <c:v>11</c:v>
              </c:pt>
              <c:pt idx="12">
                <c:v>11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646-4713-A3A3-B9EA712A5D37}"/>
            </c:ext>
          </c:extLst>
        </c:ser>
        <c:ser>
          <c:idx val="9"/>
          <c:order val="9"/>
          <c:tx>
            <c:v>Moment (U)y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chemeClr val="accent1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95</c:v>
              </c:pt>
              <c:pt idx="2">
                <c:v>65</c:v>
              </c:pt>
              <c:pt idx="7">
                <c:v>23</c:v>
              </c:pt>
              <c:pt idx="8">
                <c:v>23</c:v>
              </c:pt>
              <c:pt idx="9">
                <c:v>23</c:v>
              </c:pt>
              <c:pt idx="10">
                <c:v>23</c:v>
              </c:pt>
              <c:pt idx="11">
                <c:v>23</c:v>
              </c:pt>
              <c:pt idx="12">
                <c:v>23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646-4713-A3A3-B9EA712A5D37}"/>
            </c:ext>
          </c:extLst>
        </c:ser>
        <c:ser>
          <c:idx val="10"/>
          <c:order val="10"/>
          <c:tx>
            <c:v>Drift (U)y</c:v>
          </c:tx>
          <c:spPr>
            <a:ln w="31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100</c:v>
              </c:pt>
              <c:pt idx="1">
                <c:v>73</c:v>
              </c:pt>
              <c:pt idx="2">
                <c:v>23</c:v>
              </c:pt>
              <c:pt idx="3">
                <c:v>43</c:v>
              </c:pt>
              <c:pt idx="4">
                <c:v>44</c:v>
              </c:pt>
              <c:pt idx="5">
                <c:v>64</c:v>
              </c:pt>
              <c:pt idx="6">
                <c:v>78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99</c:v>
              </c:pt>
              <c:pt idx="12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646-4713-A3A3-B9EA712A5D37}"/>
            </c:ext>
          </c:extLst>
        </c:ser>
        <c:ser>
          <c:idx val="11"/>
          <c:order val="11"/>
          <c:tx>
            <c:v>Braced (U)y</c:v>
          </c:tx>
          <c:spPr>
            <a:ln w="31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95</c:v>
              </c:pt>
              <c:pt idx="4">
                <c:v>100</c:v>
              </c:pt>
              <c:pt idx="5">
                <c:v>88</c:v>
              </c:pt>
              <c:pt idx="6">
                <c:v>53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646-4713-A3A3-B9EA712A5D37}"/>
            </c:ext>
          </c:extLst>
        </c:ser>
        <c:ser>
          <c:idx val="12"/>
          <c:order val="12"/>
          <c:tx>
            <c:v>Shear (S)y</c:v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27</c:v>
              </c:pt>
              <c:pt idx="2">
                <c:v>29</c:v>
              </c:pt>
              <c:pt idx="7">
                <c:v>7</c:v>
              </c:pt>
              <c:pt idx="8">
                <c:v>7</c:v>
              </c:pt>
              <c:pt idx="9">
                <c:v>7</c:v>
              </c:pt>
              <c:pt idx="10">
                <c:v>7</c:v>
              </c:pt>
              <c:pt idx="11">
                <c:v>7</c:v>
              </c:pt>
              <c:pt idx="12">
                <c:v>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646-4713-A3A3-B9EA712A5D37}"/>
            </c:ext>
          </c:extLst>
        </c:ser>
        <c:ser>
          <c:idx val="13"/>
          <c:order val="13"/>
          <c:tx>
            <c:v>Moment (S)y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29</c:v>
              </c:pt>
              <c:pt idx="2">
                <c:v>23</c:v>
              </c:pt>
              <c:pt idx="7">
                <c:v>21</c:v>
              </c:pt>
              <c:pt idx="8">
                <c:v>20</c:v>
              </c:pt>
              <c:pt idx="9">
                <c:v>20</c:v>
              </c:pt>
              <c:pt idx="10">
                <c:v>20</c:v>
              </c:pt>
              <c:pt idx="11">
                <c:v>20</c:v>
              </c:pt>
              <c:pt idx="12">
                <c:v>20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646-4713-A3A3-B9EA712A5D37}"/>
            </c:ext>
          </c:extLst>
        </c:ser>
        <c:ser>
          <c:idx val="14"/>
          <c:order val="14"/>
          <c:tx>
            <c:v>Drift (S)y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43</c:v>
              </c:pt>
              <c:pt idx="2">
                <c:v>29</c:v>
              </c:pt>
              <c:pt idx="3">
                <c:v>52</c:v>
              </c:pt>
              <c:pt idx="4">
                <c:v>53</c:v>
              </c:pt>
              <c:pt idx="5">
                <c:v>77</c:v>
              </c:pt>
              <c:pt idx="6">
                <c:v>92</c:v>
              </c:pt>
              <c:pt idx="7">
                <c:v>49</c:v>
              </c:pt>
              <c:pt idx="8">
                <c:v>48</c:v>
              </c:pt>
              <c:pt idx="9">
                <c:v>48</c:v>
              </c:pt>
              <c:pt idx="10">
                <c:v>47</c:v>
              </c:pt>
              <c:pt idx="11">
                <c:v>47</c:v>
              </c:pt>
              <c:pt idx="12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646-4713-A3A3-B9EA712A5D37}"/>
            </c:ext>
          </c:extLst>
        </c:ser>
        <c:ser>
          <c:idx val="15"/>
          <c:order val="15"/>
          <c:tx>
            <c:v>Braced (S)y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chemeClr val="accent4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19</c:v>
              </c:pt>
              <c:pt idx="4">
                <c:v>20</c:v>
              </c:pt>
              <c:pt idx="5">
                <c:v>18</c:v>
              </c:pt>
              <c:pt idx="6">
                <c:v>28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('PGA 0,5'!$B$10,'PGA 0,5'!$B$15:$B$15,'PGA 0,5'!#REF!)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646-4713-A3A3-B9EA712A5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58112"/>
        <c:axId val="1100274432"/>
      </c:lineChart>
      <c:catAx>
        <c:axId val="110025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74432"/>
        <c:crosses val="autoZero"/>
        <c:auto val="1"/>
        <c:lblAlgn val="ctr"/>
        <c:lblOffset val="100"/>
        <c:noMultiLvlLbl val="0"/>
      </c:catAx>
      <c:valAx>
        <c:axId val="110027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981904572557971E-2"/>
          <c:y val="0.92661592315126229"/>
          <c:w val="0.9735799970225717"/>
          <c:h val="7.3384119168664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875721588956145E-2"/>
          <c:y val="2.9950434465919384E-2"/>
          <c:w val="0.91601586801594037"/>
          <c:h val="0.70417365717472269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14</c:v>
              </c:pt>
              <c:pt idx="1">
                <c:v>14</c:v>
              </c:pt>
              <c:pt idx="2">
                <c:v>13</c:v>
              </c:pt>
              <c:pt idx="3">
                <c:v>13</c:v>
              </c:pt>
              <c:pt idx="4">
                <c:v>13</c:v>
              </c:pt>
              <c:pt idx="5">
                <c:v>13</c:v>
              </c:pt>
              <c:pt idx="6">
                <c:v>11</c:v>
              </c:pt>
              <c:pt idx="7">
                <c:v>102</c:v>
              </c:pt>
              <c:pt idx="8">
                <c:v>97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755-4674-BC92-EE30216C8C1B}"/>
            </c:ext>
          </c:extLst>
        </c:ser>
        <c:ser>
          <c:idx val="1"/>
          <c:order val="1"/>
          <c:tx>
            <c:v>Moment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26</c:v>
              </c:pt>
              <c:pt idx="1">
                <c:v>25</c:v>
              </c:pt>
              <c:pt idx="2">
                <c:v>25</c:v>
              </c:pt>
              <c:pt idx="3">
                <c:v>24</c:v>
              </c:pt>
              <c:pt idx="4">
                <c:v>24</c:v>
              </c:pt>
              <c:pt idx="5">
                <c:v>24</c:v>
              </c:pt>
              <c:pt idx="6">
                <c:v>23</c:v>
              </c:pt>
              <c:pt idx="7">
                <c:v>35</c:v>
              </c:pt>
              <c:pt idx="8">
                <c:v>87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755-4674-BC92-EE30216C8C1B}"/>
            </c:ext>
          </c:extLst>
        </c:ser>
        <c:ser>
          <c:idx val="2"/>
          <c:order val="2"/>
          <c:tx>
            <c:v>Drift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101</c:v>
              </c:pt>
              <c:pt idx="1">
                <c:v>100</c:v>
              </c:pt>
              <c:pt idx="2">
                <c:v>99</c:v>
              </c:pt>
              <c:pt idx="3">
                <c:v>96</c:v>
              </c:pt>
              <c:pt idx="4">
                <c:v>95</c:v>
              </c:pt>
              <c:pt idx="5">
                <c:v>97</c:v>
              </c:pt>
              <c:pt idx="6">
                <c:v>100</c:v>
              </c:pt>
              <c:pt idx="7">
                <c:v>47</c:v>
              </c:pt>
              <c:pt idx="8">
                <c:v>38</c:v>
              </c:pt>
              <c:pt idx="9">
                <c:v>47</c:v>
              </c:pt>
              <c:pt idx="10">
                <c:v>46</c:v>
              </c:pt>
              <c:pt idx="11">
                <c:v>73</c:v>
              </c:pt>
              <c:pt idx="12">
                <c:v>86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755-4674-BC92-EE30216C8C1B}"/>
            </c:ext>
          </c:extLst>
        </c:ser>
        <c:ser>
          <c:idx val="3"/>
          <c:order val="3"/>
          <c:tx>
            <c:v>Braced (U)x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61</c:v>
              </c:pt>
              <c:pt idx="10">
                <c:v>94</c:v>
              </c:pt>
              <c:pt idx="11">
                <c:v>70</c:v>
              </c:pt>
              <c:pt idx="12">
                <c:v>31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755-4674-BC92-EE30216C8C1B}"/>
            </c:ext>
          </c:extLst>
        </c:ser>
        <c:ser>
          <c:idx val="4"/>
          <c:order val="4"/>
          <c:tx>
            <c:v>Shear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8</c:v>
              </c:pt>
              <c:pt idx="1">
                <c:v>8</c:v>
              </c:pt>
              <c:pt idx="2">
                <c:v>8</c:v>
              </c:pt>
              <c:pt idx="3">
                <c:v>8</c:v>
              </c:pt>
              <c:pt idx="4">
                <c:v>8</c:v>
              </c:pt>
              <c:pt idx="5">
                <c:v>8</c:v>
              </c:pt>
              <c:pt idx="6">
                <c:v>7</c:v>
              </c:pt>
              <c:pt idx="7">
                <c:v>34</c:v>
              </c:pt>
              <c:pt idx="8">
                <c:v>55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755-4674-BC92-EE30216C8C1B}"/>
            </c:ext>
          </c:extLst>
        </c:ser>
        <c:ser>
          <c:idx val="5"/>
          <c:order val="5"/>
          <c:tx>
            <c:v>Moment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22</c:v>
              </c:pt>
              <c:pt idx="1">
                <c:v>21</c:v>
              </c:pt>
              <c:pt idx="2">
                <c:v>21</c:v>
              </c:pt>
              <c:pt idx="3">
                <c:v>20</c:v>
              </c:pt>
              <c:pt idx="4">
                <c:v>20</c:v>
              </c:pt>
              <c:pt idx="5">
                <c:v>20</c:v>
              </c:pt>
              <c:pt idx="6">
                <c:v>19</c:v>
              </c:pt>
              <c:pt idx="7">
                <c:v>21</c:v>
              </c:pt>
              <c:pt idx="8">
                <c:v>40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755-4674-BC92-EE30216C8C1B}"/>
            </c:ext>
          </c:extLst>
        </c:ser>
        <c:ser>
          <c:idx val="6"/>
          <c:order val="6"/>
          <c:tx>
            <c:v>Drift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45</c:v>
              </c:pt>
              <c:pt idx="1">
                <c:v>47</c:v>
              </c:pt>
              <c:pt idx="2">
                <c:v>45</c:v>
              </c:pt>
              <c:pt idx="3">
                <c:v>44</c:v>
              </c:pt>
              <c:pt idx="4">
                <c:v>44</c:v>
              </c:pt>
              <c:pt idx="5">
                <c:v>44</c:v>
              </c:pt>
              <c:pt idx="6">
                <c:v>46</c:v>
              </c:pt>
              <c:pt idx="7">
                <c:v>36</c:v>
              </c:pt>
              <c:pt idx="8">
                <c:v>48</c:v>
              </c:pt>
              <c:pt idx="9">
                <c:v>54</c:v>
              </c:pt>
              <c:pt idx="10">
                <c:v>55</c:v>
              </c:pt>
              <c:pt idx="11">
                <c:v>88</c:v>
              </c:pt>
              <c:pt idx="12">
                <c:v>97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755-4674-BC92-EE30216C8C1B}"/>
            </c:ext>
          </c:extLst>
        </c:ser>
        <c:ser>
          <c:idx val="7"/>
          <c:order val="7"/>
          <c:tx>
            <c:v>Braced (S)x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12</c:v>
              </c:pt>
              <c:pt idx="10">
                <c:v>19</c:v>
              </c:pt>
              <c:pt idx="11">
                <c:v>14</c:v>
              </c:pt>
              <c:pt idx="12">
                <c:v>15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755-4674-BC92-EE30216C8C1B}"/>
            </c:ext>
          </c:extLst>
        </c:ser>
        <c:ser>
          <c:idx val="8"/>
          <c:order val="8"/>
          <c:tx>
            <c:v>Shear (U)y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14</c:v>
              </c:pt>
              <c:pt idx="1">
                <c:v>73</c:v>
              </c:pt>
              <c:pt idx="2">
                <c:v>62</c:v>
              </c:pt>
              <c:pt idx="7">
                <c:v>14</c:v>
              </c:pt>
              <c:pt idx="8">
                <c:v>13</c:v>
              </c:pt>
              <c:pt idx="9">
                <c:v>13</c:v>
              </c:pt>
              <c:pt idx="10">
                <c:v>13</c:v>
              </c:pt>
              <c:pt idx="11">
                <c:v>14</c:v>
              </c:pt>
              <c:pt idx="12">
                <c:v>14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755-4674-BC92-EE30216C8C1B}"/>
            </c:ext>
          </c:extLst>
        </c:ser>
        <c:ser>
          <c:idx val="9"/>
          <c:order val="9"/>
          <c:tx>
            <c:v>Moment (U)y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26</c:v>
              </c:pt>
              <c:pt idx="1">
                <c:v>97</c:v>
              </c:pt>
              <c:pt idx="2">
                <c:v>80</c:v>
              </c:pt>
              <c:pt idx="7">
                <c:v>26</c:v>
              </c:pt>
              <c:pt idx="8">
                <c:v>25</c:v>
              </c:pt>
              <c:pt idx="9">
                <c:v>25</c:v>
              </c:pt>
              <c:pt idx="10">
                <c:v>25</c:v>
              </c:pt>
              <c:pt idx="11">
                <c:v>25</c:v>
              </c:pt>
              <c:pt idx="12">
                <c:v>25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755-4674-BC92-EE30216C8C1B}"/>
            </c:ext>
          </c:extLst>
        </c:ser>
        <c:ser>
          <c:idx val="10"/>
          <c:order val="10"/>
          <c:tx>
            <c:v>Drift (U)y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100</c:v>
              </c:pt>
              <c:pt idx="1">
                <c:v>65</c:v>
              </c:pt>
              <c:pt idx="2">
                <c:v>28</c:v>
              </c:pt>
              <c:pt idx="3">
                <c:v>48</c:v>
              </c:pt>
              <c:pt idx="4">
                <c:v>39</c:v>
              </c:pt>
              <c:pt idx="5">
                <c:v>74</c:v>
              </c:pt>
              <c:pt idx="6">
                <c:v>77</c:v>
              </c:pt>
              <c:pt idx="7">
                <c:v>101</c:v>
              </c:pt>
              <c:pt idx="8">
                <c:v>100</c:v>
              </c:pt>
              <c:pt idx="9">
                <c:v>99</c:v>
              </c:pt>
              <c:pt idx="10">
                <c:v>100</c:v>
              </c:pt>
              <c:pt idx="11">
                <c:v>100</c:v>
              </c:pt>
              <c:pt idx="12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755-4674-BC92-EE30216C8C1B}"/>
            </c:ext>
          </c:extLst>
        </c:ser>
        <c:ser>
          <c:idx val="11"/>
          <c:order val="11"/>
          <c:tx>
            <c:v>Braced (U)y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63</c:v>
              </c:pt>
              <c:pt idx="4">
                <c:v>99</c:v>
              </c:pt>
              <c:pt idx="5">
                <c:v>72</c:v>
              </c:pt>
              <c:pt idx="6">
                <c:v>53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755-4674-BC92-EE30216C8C1B}"/>
            </c:ext>
          </c:extLst>
        </c:ser>
        <c:ser>
          <c:idx val="12"/>
          <c:order val="12"/>
          <c:tx>
            <c:v>Shear (S)y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9</c:v>
              </c:pt>
              <c:pt idx="1">
                <c:v>28</c:v>
              </c:pt>
              <c:pt idx="2">
                <c:v>36</c:v>
              </c:pt>
              <c:pt idx="7">
                <c:v>9</c:v>
              </c:pt>
              <c:pt idx="8">
                <c:v>8</c:v>
              </c:pt>
              <c:pt idx="9">
                <c:v>8</c:v>
              </c:pt>
              <c:pt idx="10">
                <c:v>8</c:v>
              </c:pt>
              <c:pt idx="11">
                <c:v>8</c:v>
              </c:pt>
              <c:pt idx="12">
                <c:v>8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755-4674-BC92-EE30216C8C1B}"/>
            </c:ext>
          </c:extLst>
        </c:ser>
        <c:ser>
          <c:idx val="13"/>
          <c:order val="13"/>
          <c:tx>
            <c:v>Moment (S)y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22</c:v>
              </c:pt>
              <c:pt idx="1">
                <c:v>28</c:v>
              </c:pt>
              <c:pt idx="2">
                <c:v>28</c:v>
              </c:pt>
              <c:pt idx="7">
                <c:v>22</c:v>
              </c:pt>
              <c:pt idx="8">
                <c:v>21</c:v>
              </c:pt>
              <c:pt idx="9">
                <c:v>21</c:v>
              </c:pt>
              <c:pt idx="10">
                <c:v>21</c:v>
              </c:pt>
              <c:pt idx="11">
                <c:v>21</c:v>
              </c:pt>
              <c:pt idx="12">
                <c:v>21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755-4674-BC92-EE30216C8C1B}"/>
            </c:ext>
          </c:extLst>
        </c:ser>
        <c:ser>
          <c:idx val="14"/>
          <c:order val="14"/>
          <c:tx>
            <c:v>Drift (S)y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45</c:v>
              </c:pt>
              <c:pt idx="1">
                <c:v>39</c:v>
              </c:pt>
              <c:pt idx="2">
                <c:v>36</c:v>
              </c:pt>
              <c:pt idx="3">
                <c:v>55</c:v>
              </c:pt>
              <c:pt idx="4">
                <c:v>48</c:v>
              </c:pt>
              <c:pt idx="5">
                <c:v>90</c:v>
              </c:pt>
              <c:pt idx="6">
                <c:v>85</c:v>
              </c:pt>
              <c:pt idx="7">
                <c:v>46</c:v>
              </c:pt>
              <c:pt idx="8">
                <c:v>46</c:v>
              </c:pt>
              <c:pt idx="9">
                <c:v>45</c:v>
              </c:pt>
              <c:pt idx="10">
                <c:v>46</c:v>
              </c:pt>
              <c:pt idx="11">
                <c:v>46</c:v>
              </c:pt>
              <c:pt idx="12">
                <c:v>46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755-4674-BC92-EE30216C8C1B}"/>
            </c:ext>
          </c:extLst>
        </c:ser>
        <c:ser>
          <c:idx val="15"/>
          <c:order val="15"/>
          <c:tx>
            <c:v>Braced (S)y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12</c:v>
              </c:pt>
              <c:pt idx="4">
                <c:v>20</c:v>
              </c:pt>
              <c:pt idx="5">
                <c:v>14</c:v>
              </c:pt>
              <c:pt idx="6">
                <c:v>26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(#REF!,#REF!,#REF!)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755-4674-BC92-EE30216C8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2048448"/>
        <c:axId val="1382053728"/>
      </c:lineChart>
      <c:catAx>
        <c:axId val="138204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53728"/>
        <c:crosses val="autoZero"/>
        <c:auto val="1"/>
        <c:lblAlgn val="ctr"/>
        <c:lblOffset val="100"/>
        <c:noMultiLvlLbl val="0"/>
      </c:catAx>
      <c:valAx>
        <c:axId val="1382053728"/>
        <c:scaling>
          <c:orientation val="minMax"/>
          <c:max val="1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204840106302674E-2"/>
          <c:y val="0.9188008892045828"/>
          <c:w val="0.97801435687862981"/>
          <c:h val="6.8657850355494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964523981134281E-2"/>
          <c:y val="2.622824926666922E-2"/>
          <c:w val="0.91515897710734395"/>
          <c:h val="0.69533000099885967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rgbClr val="0070C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11</c:v>
              </c:pt>
              <c:pt idx="1">
                <c:v>11</c:v>
              </c:pt>
              <c:pt idx="2">
                <c:v>10</c:v>
              </c:pt>
              <c:pt idx="3">
                <c:v>11</c:v>
              </c:pt>
              <c:pt idx="4">
                <c:v>11</c:v>
              </c:pt>
              <c:pt idx="5">
                <c:v>11</c:v>
              </c:pt>
              <c:pt idx="6">
                <c:v>11</c:v>
              </c:pt>
              <c:pt idx="7">
                <c:v>99</c:v>
              </c:pt>
              <c:pt idx="8">
                <c:v>99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706-4DC0-8433-1A0FDB22E575}"/>
            </c:ext>
          </c:extLst>
        </c:ser>
        <c:ser>
          <c:idx val="1"/>
          <c:order val="1"/>
          <c:tx>
            <c:v>Moment (U)x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23</c:v>
              </c:pt>
              <c:pt idx="2">
                <c:v>22</c:v>
              </c:pt>
              <c:pt idx="3">
                <c:v>22</c:v>
              </c:pt>
              <c:pt idx="4">
                <c:v>22</c:v>
              </c:pt>
              <c:pt idx="5">
                <c:v>22</c:v>
              </c:pt>
              <c:pt idx="6">
                <c:v>23</c:v>
              </c:pt>
              <c:pt idx="7">
                <c:v>34</c:v>
              </c:pt>
              <c:pt idx="8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706-4DC0-8433-1A0FDB22E575}"/>
            </c:ext>
          </c:extLst>
        </c:ser>
        <c:ser>
          <c:idx val="2"/>
          <c:order val="2"/>
          <c:tx>
            <c:v>Drift (U)x</c:v>
          </c:tx>
          <c:spPr>
            <a:ln w="31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99</c:v>
              </c:pt>
              <c:pt idx="1">
                <c:v>99</c:v>
              </c:pt>
              <c:pt idx="2">
                <c:v>97</c:v>
              </c:pt>
              <c:pt idx="3">
                <c:v>96</c:v>
              </c:pt>
              <c:pt idx="4">
                <c:v>95</c:v>
              </c:pt>
              <c:pt idx="5">
                <c:v>97</c:v>
              </c:pt>
              <c:pt idx="6">
                <c:v>100</c:v>
              </c:pt>
              <c:pt idx="7">
                <c:v>43</c:v>
              </c:pt>
              <c:pt idx="8">
                <c:v>43</c:v>
              </c:pt>
              <c:pt idx="9">
                <c:v>42</c:v>
              </c:pt>
              <c:pt idx="10">
                <c:v>43</c:v>
              </c:pt>
              <c:pt idx="11">
                <c:v>62</c:v>
              </c:pt>
              <c:pt idx="12">
                <c:v>75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706-4DC0-8433-1A0FDB22E575}"/>
            </c:ext>
          </c:extLst>
        </c:ser>
        <c:ser>
          <c:idx val="3"/>
          <c:order val="3"/>
          <c:tx>
            <c:v>Braced (U)x</c:v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rgbClr val="00B0F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92</c:v>
              </c:pt>
              <c:pt idx="10">
                <c:v>97</c:v>
              </c:pt>
              <c:pt idx="11">
                <c:v>85</c:v>
              </c:pt>
              <c:pt idx="12">
                <c:v>51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706-4DC0-8433-1A0FDB22E575}"/>
            </c:ext>
          </c:extLst>
        </c:ser>
        <c:ser>
          <c:idx val="4"/>
          <c:order val="4"/>
          <c:tx>
            <c:v>Shear (S)x</c:v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5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7</c:v>
              </c:pt>
              <c:pt idx="7">
                <c:v>29</c:v>
              </c:pt>
              <c:pt idx="8">
                <c:v>55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706-4DC0-8433-1A0FDB22E575}"/>
            </c:ext>
          </c:extLst>
        </c:ser>
        <c:ser>
          <c:idx val="5"/>
          <c:order val="5"/>
          <c:tx>
            <c:v>Moment (S)x</c:v>
          </c:tx>
          <c:spPr>
            <a:ln w="31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21</c:v>
              </c:pt>
              <c:pt idx="2">
                <c:v>20</c:v>
              </c:pt>
              <c:pt idx="3">
                <c:v>19</c:v>
              </c:pt>
              <c:pt idx="4">
                <c:v>19</c:v>
              </c:pt>
              <c:pt idx="5">
                <c:v>19</c:v>
              </c:pt>
              <c:pt idx="6">
                <c:v>20</c:v>
              </c:pt>
              <c:pt idx="7">
                <c:v>19</c:v>
              </c:pt>
              <c:pt idx="8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706-4DC0-8433-1A0FDB22E575}"/>
            </c:ext>
          </c:extLst>
        </c:ser>
        <c:ser>
          <c:idx val="6"/>
          <c:order val="6"/>
          <c:tx>
            <c:v>Drift (S)x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49</c:v>
              </c:pt>
              <c:pt idx="2">
                <c:v>47</c:v>
              </c:pt>
              <c:pt idx="3">
                <c:v>46</c:v>
              </c:pt>
              <c:pt idx="4">
                <c:v>45</c:v>
              </c:pt>
              <c:pt idx="5">
                <c:v>46</c:v>
              </c:pt>
              <c:pt idx="6">
                <c:v>48</c:v>
              </c:pt>
              <c:pt idx="7">
                <c:v>31</c:v>
              </c:pt>
              <c:pt idx="8">
                <c:v>54</c:v>
              </c:pt>
              <c:pt idx="9">
                <c:v>51</c:v>
              </c:pt>
              <c:pt idx="10">
                <c:v>51</c:v>
              </c:pt>
              <c:pt idx="11">
                <c:v>75</c:v>
              </c:pt>
              <c:pt idx="12">
                <c:v>89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706-4DC0-8433-1A0FDB22E575}"/>
            </c:ext>
          </c:extLst>
        </c:ser>
        <c:ser>
          <c:idx val="7"/>
          <c:order val="7"/>
          <c:tx>
            <c:v>Braced (S)x</c:v>
          </c:tx>
          <c:spPr>
            <a:ln w="31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18</c:v>
              </c:pt>
              <c:pt idx="10">
                <c:v>19</c:v>
              </c:pt>
              <c:pt idx="11">
                <c:v>17</c:v>
              </c:pt>
              <c:pt idx="12">
                <c:v>27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706-4DC0-8433-1A0FDB22E575}"/>
            </c:ext>
          </c:extLst>
        </c:ser>
        <c:ser>
          <c:idx val="8"/>
          <c:order val="8"/>
          <c:tx>
            <c:v>Shear (U)y</c:v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12</c:v>
              </c:pt>
              <c:pt idx="1">
                <c:v>68</c:v>
              </c:pt>
              <c:pt idx="2">
                <c:v>51</c:v>
              </c:pt>
              <c:pt idx="7">
                <c:v>11</c:v>
              </c:pt>
              <c:pt idx="8">
                <c:v>11</c:v>
              </c:pt>
              <c:pt idx="9">
                <c:v>11</c:v>
              </c:pt>
              <c:pt idx="10">
                <c:v>11</c:v>
              </c:pt>
              <c:pt idx="11">
                <c:v>11</c:v>
              </c:pt>
              <c:pt idx="12">
                <c:v>11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706-4DC0-8433-1A0FDB22E575}"/>
            </c:ext>
          </c:extLst>
        </c:ser>
        <c:ser>
          <c:idx val="9"/>
          <c:order val="9"/>
          <c:tx>
            <c:v>Moment (U)y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chemeClr val="accent1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95</c:v>
              </c:pt>
              <c:pt idx="2">
                <c:v>65</c:v>
              </c:pt>
              <c:pt idx="7">
                <c:v>23</c:v>
              </c:pt>
              <c:pt idx="8">
                <c:v>23</c:v>
              </c:pt>
              <c:pt idx="9">
                <c:v>23</c:v>
              </c:pt>
              <c:pt idx="10">
                <c:v>23</c:v>
              </c:pt>
              <c:pt idx="11">
                <c:v>23</c:v>
              </c:pt>
              <c:pt idx="12">
                <c:v>23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706-4DC0-8433-1A0FDB22E575}"/>
            </c:ext>
          </c:extLst>
        </c:ser>
        <c:ser>
          <c:idx val="10"/>
          <c:order val="10"/>
          <c:tx>
            <c:v>Drift (U)y</c:v>
          </c:tx>
          <c:spPr>
            <a:ln w="31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100</c:v>
              </c:pt>
              <c:pt idx="1">
                <c:v>73</c:v>
              </c:pt>
              <c:pt idx="2">
                <c:v>23</c:v>
              </c:pt>
              <c:pt idx="3">
                <c:v>43</c:v>
              </c:pt>
              <c:pt idx="4">
                <c:v>44</c:v>
              </c:pt>
              <c:pt idx="5">
                <c:v>64</c:v>
              </c:pt>
              <c:pt idx="6">
                <c:v>78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99</c:v>
              </c:pt>
              <c:pt idx="12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706-4DC0-8433-1A0FDB22E575}"/>
            </c:ext>
          </c:extLst>
        </c:ser>
        <c:ser>
          <c:idx val="11"/>
          <c:order val="11"/>
          <c:tx>
            <c:v>Braced (U)y</c:v>
          </c:tx>
          <c:spPr>
            <a:ln w="31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95</c:v>
              </c:pt>
              <c:pt idx="4">
                <c:v>100</c:v>
              </c:pt>
              <c:pt idx="5">
                <c:v>88</c:v>
              </c:pt>
              <c:pt idx="6">
                <c:v>53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706-4DC0-8433-1A0FDB22E575}"/>
            </c:ext>
          </c:extLst>
        </c:ser>
        <c:ser>
          <c:idx val="12"/>
          <c:order val="12"/>
          <c:tx>
            <c:v>Shear (S)y</c:v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27</c:v>
              </c:pt>
              <c:pt idx="2">
                <c:v>29</c:v>
              </c:pt>
              <c:pt idx="7">
                <c:v>7</c:v>
              </c:pt>
              <c:pt idx="8">
                <c:v>7</c:v>
              </c:pt>
              <c:pt idx="9">
                <c:v>7</c:v>
              </c:pt>
              <c:pt idx="10">
                <c:v>7</c:v>
              </c:pt>
              <c:pt idx="11">
                <c:v>7</c:v>
              </c:pt>
              <c:pt idx="12">
                <c:v>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706-4DC0-8433-1A0FDB22E575}"/>
            </c:ext>
          </c:extLst>
        </c:ser>
        <c:ser>
          <c:idx val="13"/>
          <c:order val="13"/>
          <c:tx>
            <c:v>Moment (S)y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29</c:v>
              </c:pt>
              <c:pt idx="2">
                <c:v>23</c:v>
              </c:pt>
              <c:pt idx="7">
                <c:v>21</c:v>
              </c:pt>
              <c:pt idx="8">
                <c:v>20</c:v>
              </c:pt>
              <c:pt idx="9">
                <c:v>20</c:v>
              </c:pt>
              <c:pt idx="10">
                <c:v>20</c:v>
              </c:pt>
              <c:pt idx="11">
                <c:v>20</c:v>
              </c:pt>
              <c:pt idx="12">
                <c:v>20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706-4DC0-8433-1A0FDB22E575}"/>
            </c:ext>
          </c:extLst>
        </c:ser>
        <c:ser>
          <c:idx val="14"/>
          <c:order val="14"/>
          <c:tx>
            <c:v>Drift (S)y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43</c:v>
              </c:pt>
              <c:pt idx="2">
                <c:v>29</c:v>
              </c:pt>
              <c:pt idx="3">
                <c:v>52</c:v>
              </c:pt>
              <c:pt idx="4">
                <c:v>53</c:v>
              </c:pt>
              <c:pt idx="5">
                <c:v>77</c:v>
              </c:pt>
              <c:pt idx="6">
                <c:v>92</c:v>
              </c:pt>
              <c:pt idx="7">
                <c:v>49</c:v>
              </c:pt>
              <c:pt idx="8">
                <c:v>48</c:v>
              </c:pt>
              <c:pt idx="9">
                <c:v>48</c:v>
              </c:pt>
              <c:pt idx="10">
                <c:v>47</c:v>
              </c:pt>
              <c:pt idx="11">
                <c:v>47</c:v>
              </c:pt>
              <c:pt idx="12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706-4DC0-8433-1A0FDB22E575}"/>
            </c:ext>
          </c:extLst>
        </c:ser>
        <c:ser>
          <c:idx val="15"/>
          <c:order val="15"/>
          <c:tx>
            <c:v>Braced (S)y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chemeClr val="accent4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19</c:v>
              </c:pt>
              <c:pt idx="4">
                <c:v>20</c:v>
              </c:pt>
              <c:pt idx="5">
                <c:v>18</c:v>
              </c:pt>
              <c:pt idx="6">
                <c:v>28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706-4DC0-8433-1A0FDB22E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58112"/>
        <c:axId val="1100274432"/>
      </c:lineChart>
      <c:catAx>
        <c:axId val="110025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74432"/>
        <c:crosses val="autoZero"/>
        <c:auto val="1"/>
        <c:lblAlgn val="ctr"/>
        <c:lblOffset val="100"/>
        <c:noMultiLvlLbl val="0"/>
      </c:catAx>
      <c:valAx>
        <c:axId val="110027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981904572557971E-2"/>
          <c:y val="0.92661592315126229"/>
          <c:w val="0.96416283352286247"/>
          <c:h val="5.5923222510757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964523981134281E-2"/>
          <c:y val="2.622824926666922E-2"/>
          <c:w val="0.91515897710734395"/>
          <c:h val="0.69533000099885967"/>
        </c:manualLayout>
      </c:layout>
      <c:lineChart>
        <c:grouping val="standard"/>
        <c:varyColors val="0"/>
        <c:ser>
          <c:idx val="0"/>
          <c:order val="0"/>
          <c:tx>
            <c:v>Shear (U)x</c:v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rgbClr val="0070C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11</c:v>
              </c:pt>
              <c:pt idx="1">
                <c:v>11</c:v>
              </c:pt>
              <c:pt idx="2">
                <c:v>10</c:v>
              </c:pt>
              <c:pt idx="3">
                <c:v>11</c:v>
              </c:pt>
              <c:pt idx="4">
                <c:v>11</c:v>
              </c:pt>
              <c:pt idx="5">
                <c:v>11</c:v>
              </c:pt>
              <c:pt idx="6">
                <c:v>11</c:v>
              </c:pt>
              <c:pt idx="7">
                <c:v>99</c:v>
              </c:pt>
              <c:pt idx="8">
                <c:v>99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CA2-45B1-BB15-35840ACA3A85}"/>
            </c:ext>
          </c:extLst>
        </c:ser>
        <c:ser>
          <c:idx val="1"/>
          <c:order val="1"/>
          <c:tx>
            <c:v>Moment (U)x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23</c:v>
              </c:pt>
              <c:pt idx="2">
                <c:v>22</c:v>
              </c:pt>
              <c:pt idx="3">
                <c:v>22</c:v>
              </c:pt>
              <c:pt idx="4">
                <c:v>22</c:v>
              </c:pt>
              <c:pt idx="5">
                <c:v>22</c:v>
              </c:pt>
              <c:pt idx="6">
                <c:v>23</c:v>
              </c:pt>
              <c:pt idx="7">
                <c:v>34</c:v>
              </c:pt>
              <c:pt idx="8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CA2-45B1-BB15-35840ACA3A85}"/>
            </c:ext>
          </c:extLst>
        </c:ser>
        <c:ser>
          <c:idx val="2"/>
          <c:order val="2"/>
          <c:tx>
            <c:v>Drift (U)x</c:v>
          </c:tx>
          <c:spPr>
            <a:ln w="31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99</c:v>
              </c:pt>
              <c:pt idx="1">
                <c:v>99</c:v>
              </c:pt>
              <c:pt idx="2">
                <c:v>97</c:v>
              </c:pt>
              <c:pt idx="3">
                <c:v>96</c:v>
              </c:pt>
              <c:pt idx="4">
                <c:v>95</c:v>
              </c:pt>
              <c:pt idx="5">
                <c:v>97</c:v>
              </c:pt>
              <c:pt idx="6">
                <c:v>100</c:v>
              </c:pt>
              <c:pt idx="7">
                <c:v>43</c:v>
              </c:pt>
              <c:pt idx="8">
                <c:v>43</c:v>
              </c:pt>
              <c:pt idx="9">
                <c:v>42</c:v>
              </c:pt>
              <c:pt idx="10">
                <c:v>43</c:v>
              </c:pt>
              <c:pt idx="11">
                <c:v>62</c:v>
              </c:pt>
              <c:pt idx="12">
                <c:v>75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CA2-45B1-BB15-35840ACA3A85}"/>
            </c:ext>
          </c:extLst>
        </c:ser>
        <c:ser>
          <c:idx val="3"/>
          <c:order val="3"/>
          <c:tx>
            <c:v>Braced (U)x</c:v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rgbClr val="00B0F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92</c:v>
              </c:pt>
              <c:pt idx="10">
                <c:v>97</c:v>
              </c:pt>
              <c:pt idx="11">
                <c:v>85</c:v>
              </c:pt>
              <c:pt idx="12">
                <c:v>51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CA2-45B1-BB15-35840ACA3A85}"/>
            </c:ext>
          </c:extLst>
        </c:ser>
        <c:ser>
          <c:idx val="4"/>
          <c:order val="4"/>
          <c:tx>
            <c:v>Shear (S)x</c:v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5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7</c:v>
              </c:pt>
              <c:pt idx="7">
                <c:v>29</c:v>
              </c:pt>
              <c:pt idx="8">
                <c:v>55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CA2-45B1-BB15-35840ACA3A85}"/>
            </c:ext>
          </c:extLst>
        </c:ser>
        <c:ser>
          <c:idx val="5"/>
          <c:order val="5"/>
          <c:tx>
            <c:v>Moment (S)x</c:v>
          </c:tx>
          <c:spPr>
            <a:ln w="31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21</c:v>
              </c:pt>
              <c:pt idx="2">
                <c:v>20</c:v>
              </c:pt>
              <c:pt idx="3">
                <c:v>19</c:v>
              </c:pt>
              <c:pt idx="4">
                <c:v>19</c:v>
              </c:pt>
              <c:pt idx="5">
                <c:v>19</c:v>
              </c:pt>
              <c:pt idx="6">
                <c:v>20</c:v>
              </c:pt>
              <c:pt idx="7">
                <c:v>19</c:v>
              </c:pt>
              <c:pt idx="8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CA2-45B1-BB15-35840ACA3A85}"/>
            </c:ext>
          </c:extLst>
        </c:ser>
        <c:ser>
          <c:idx val="6"/>
          <c:order val="6"/>
          <c:tx>
            <c:v>Drift (S)x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49</c:v>
              </c:pt>
              <c:pt idx="2">
                <c:v>47</c:v>
              </c:pt>
              <c:pt idx="3">
                <c:v>46</c:v>
              </c:pt>
              <c:pt idx="4">
                <c:v>45</c:v>
              </c:pt>
              <c:pt idx="5">
                <c:v>46</c:v>
              </c:pt>
              <c:pt idx="6">
                <c:v>48</c:v>
              </c:pt>
              <c:pt idx="7">
                <c:v>31</c:v>
              </c:pt>
              <c:pt idx="8">
                <c:v>54</c:v>
              </c:pt>
              <c:pt idx="9">
                <c:v>51</c:v>
              </c:pt>
              <c:pt idx="10">
                <c:v>51</c:v>
              </c:pt>
              <c:pt idx="11">
                <c:v>75</c:v>
              </c:pt>
              <c:pt idx="12">
                <c:v>89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CA2-45B1-BB15-35840ACA3A85}"/>
            </c:ext>
          </c:extLst>
        </c:ser>
        <c:ser>
          <c:idx val="7"/>
          <c:order val="7"/>
          <c:tx>
            <c:v>Braced (S)x</c:v>
          </c:tx>
          <c:spPr>
            <a:ln w="31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9">
                <c:v>18</c:v>
              </c:pt>
              <c:pt idx="10">
                <c:v>19</c:v>
              </c:pt>
              <c:pt idx="11">
                <c:v>17</c:v>
              </c:pt>
              <c:pt idx="12">
                <c:v>27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CA2-45B1-BB15-35840ACA3A85}"/>
            </c:ext>
          </c:extLst>
        </c:ser>
        <c:ser>
          <c:idx val="8"/>
          <c:order val="8"/>
          <c:tx>
            <c:v>Shear (U)y</c:v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12</c:v>
              </c:pt>
              <c:pt idx="1">
                <c:v>68</c:v>
              </c:pt>
              <c:pt idx="2">
                <c:v>51</c:v>
              </c:pt>
              <c:pt idx="7">
                <c:v>11</c:v>
              </c:pt>
              <c:pt idx="8">
                <c:v>11</c:v>
              </c:pt>
              <c:pt idx="9">
                <c:v>11</c:v>
              </c:pt>
              <c:pt idx="10">
                <c:v>11</c:v>
              </c:pt>
              <c:pt idx="11">
                <c:v>11</c:v>
              </c:pt>
              <c:pt idx="12">
                <c:v>11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CA2-45B1-BB15-35840ACA3A85}"/>
            </c:ext>
          </c:extLst>
        </c:ser>
        <c:ser>
          <c:idx val="9"/>
          <c:order val="9"/>
          <c:tx>
            <c:v>Moment (U)y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noFill/>
              <a:ln w="3175">
                <a:solidFill>
                  <a:schemeClr val="accent1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23</c:v>
              </c:pt>
              <c:pt idx="1">
                <c:v>95</c:v>
              </c:pt>
              <c:pt idx="2">
                <c:v>65</c:v>
              </c:pt>
              <c:pt idx="7">
                <c:v>23</c:v>
              </c:pt>
              <c:pt idx="8">
                <c:v>23</c:v>
              </c:pt>
              <c:pt idx="9">
                <c:v>23</c:v>
              </c:pt>
              <c:pt idx="10">
                <c:v>23</c:v>
              </c:pt>
              <c:pt idx="11">
                <c:v>23</c:v>
              </c:pt>
              <c:pt idx="12">
                <c:v>23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CA2-45B1-BB15-35840ACA3A85}"/>
            </c:ext>
          </c:extLst>
        </c:ser>
        <c:ser>
          <c:idx val="10"/>
          <c:order val="10"/>
          <c:tx>
            <c:v>Drift (U)y</c:v>
          </c:tx>
          <c:spPr>
            <a:ln w="31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3175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100</c:v>
              </c:pt>
              <c:pt idx="1">
                <c:v>73</c:v>
              </c:pt>
              <c:pt idx="2">
                <c:v>23</c:v>
              </c:pt>
              <c:pt idx="3">
                <c:v>43</c:v>
              </c:pt>
              <c:pt idx="4">
                <c:v>44</c:v>
              </c:pt>
              <c:pt idx="5">
                <c:v>64</c:v>
              </c:pt>
              <c:pt idx="6">
                <c:v>78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99</c:v>
              </c:pt>
              <c:pt idx="12">
                <c:v>100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CA2-45B1-BB15-35840ACA3A85}"/>
            </c:ext>
          </c:extLst>
        </c:ser>
        <c:ser>
          <c:idx val="11"/>
          <c:order val="11"/>
          <c:tx>
            <c:v>Braced (U)y</c:v>
          </c:tx>
          <c:spPr>
            <a:ln w="31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3175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95</c:v>
              </c:pt>
              <c:pt idx="4">
                <c:v>100</c:v>
              </c:pt>
              <c:pt idx="5">
                <c:v>88</c:v>
              </c:pt>
              <c:pt idx="6">
                <c:v>53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CA2-45B1-BB15-35840ACA3A85}"/>
            </c:ext>
          </c:extLst>
        </c:ser>
        <c:ser>
          <c:idx val="12"/>
          <c:order val="12"/>
          <c:tx>
            <c:v>Shear (S)y</c:v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317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7</c:v>
              </c:pt>
              <c:pt idx="1">
                <c:v>27</c:v>
              </c:pt>
              <c:pt idx="2">
                <c:v>29</c:v>
              </c:pt>
              <c:pt idx="7">
                <c:v>7</c:v>
              </c:pt>
              <c:pt idx="8">
                <c:v>7</c:v>
              </c:pt>
              <c:pt idx="9">
                <c:v>7</c:v>
              </c:pt>
              <c:pt idx="10">
                <c:v>7</c:v>
              </c:pt>
              <c:pt idx="11">
                <c:v>7</c:v>
              </c:pt>
              <c:pt idx="12">
                <c:v>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CA2-45B1-BB15-35840ACA3A85}"/>
            </c:ext>
          </c:extLst>
        </c:ser>
        <c:ser>
          <c:idx val="13"/>
          <c:order val="13"/>
          <c:tx>
            <c:v>Moment (S)y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3175">
                <a:solidFill>
                  <a:schemeClr val="accent2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21</c:v>
              </c:pt>
              <c:pt idx="1">
                <c:v>29</c:v>
              </c:pt>
              <c:pt idx="2">
                <c:v>23</c:v>
              </c:pt>
              <c:pt idx="7">
                <c:v>21</c:v>
              </c:pt>
              <c:pt idx="8">
                <c:v>20</c:v>
              </c:pt>
              <c:pt idx="9">
                <c:v>20</c:v>
              </c:pt>
              <c:pt idx="10">
                <c:v>20</c:v>
              </c:pt>
              <c:pt idx="11">
                <c:v>20</c:v>
              </c:pt>
              <c:pt idx="12">
                <c:v>20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CA2-45B1-BB15-35840ACA3A85}"/>
            </c:ext>
          </c:extLst>
        </c:ser>
        <c:ser>
          <c:idx val="14"/>
          <c:order val="14"/>
          <c:tx>
            <c:v>Drift (S)y</c:v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175">
                <a:solidFill>
                  <a:srgbClr val="002060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0">
                <c:v>48</c:v>
              </c:pt>
              <c:pt idx="1">
                <c:v>43</c:v>
              </c:pt>
              <c:pt idx="2">
                <c:v>29</c:v>
              </c:pt>
              <c:pt idx="3">
                <c:v>52</c:v>
              </c:pt>
              <c:pt idx="4">
                <c:v>53</c:v>
              </c:pt>
              <c:pt idx="5">
                <c:v>77</c:v>
              </c:pt>
              <c:pt idx="6">
                <c:v>92</c:v>
              </c:pt>
              <c:pt idx="7">
                <c:v>49</c:v>
              </c:pt>
              <c:pt idx="8">
                <c:v>48</c:v>
              </c:pt>
              <c:pt idx="9">
                <c:v>48</c:v>
              </c:pt>
              <c:pt idx="10">
                <c:v>47</c:v>
              </c:pt>
              <c:pt idx="11">
                <c:v>47</c:v>
              </c:pt>
              <c:pt idx="12">
                <c:v>47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CA2-45B1-BB15-35840ACA3A85}"/>
            </c:ext>
          </c:extLst>
        </c:ser>
        <c:ser>
          <c:idx val="15"/>
          <c:order val="15"/>
          <c:tx>
            <c:v>Braced (S)y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3175">
                <a:solidFill>
                  <a:schemeClr val="accent4"/>
                </a:solidFill>
                <a:round/>
              </a:ln>
              <a:effectLst/>
            </c:spPr>
          </c:marker>
          <c:val>
            <c:numLit>
              <c:formatCode>General</c:formatCode>
              <c:ptCount val="13"/>
              <c:pt idx="3">
                <c:v>19</c:v>
              </c:pt>
              <c:pt idx="4">
                <c:v>20</c:v>
              </c:pt>
              <c:pt idx="5">
                <c:v>18</c:v>
              </c:pt>
              <c:pt idx="6">
                <c:v>28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CA2-45B1-BB15-35840ACA3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58112"/>
        <c:axId val="1100274432"/>
      </c:lineChart>
      <c:catAx>
        <c:axId val="110025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74432"/>
        <c:crosses val="autoZero"/>
        <c:auto val="1"/>
        <c:lblAlgn val="ctr"/>
        <c:lblOffset val="100"/>
        <c:noMultiLvlLbl val="0"/>
      </c:catAx>
      <c:valAx>
        <c:axId val="110027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981904572557971E-2"/>
          <c:y val="0.92661592315126229"/>
          <c:w val="0.96416283352286247"/>
          <c:h val="5.5923222510757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0</xdr:colOff>
      <xdr:row>44</xdr:row>
      <xdr:rowOff>0</xdr:rowOff>
    </xdr:from>
    <xdr:to>
      <xdr:col>101</xdr:col>
      <xdr:colOff>465906</xdr:colOff>
      <xdr:row>72</xdr:row>
      <xdr:rowOff>90871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B1F7D7-CCF5-4701-BD61-22A9F60CE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103</xdr:col>
      <xdr:colOff>0</xdr:colOff>
      <xdr:row>44</xdr:row>
      <xdr:rowOff>0</xdr:rowOff>
    </xdr:from>
    <xdr:to>
      <xdr:col>112</xdr:col>
      <xdr:colOff>465906</xdr:colOff>
      <xdr:row>72</xdr:row>
      <xdr:rowOff>90871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6CF845-9C6E-4CEB-B718-704ACF9C5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28</xdr:col>
      <xdr:colOff>187377</xdr:colOff>
      <xdr:row>6</xdr:row>
      <xdr:rowOff>9163</xdr:rowOff>
    </xdr:from>
    <xdr:to>
      <xdr:col>38</xdr:col>
      <xdr:colOff>310834</xdr:colOff>
      <xdr:row>17</xdr:row>
      <xdr:rowOff>166558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13BDBE-8BF1-4CB6-9176-1C47A0545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8567" t="36277" r="17721" b="26664"/>
        <a:stretch>
          <a:fillRect/>
        </a:stretch>
      </xdr:blipFill>
      <xdr:spPr>
        <a:xfrm>
          <a:off x="14896475" y="1070966"/>
          <a:ext cx="6265261" cy="2510018"/>
        </a:xfrm>
        <a:prstGeom prst="rect">
          <a:avLst/>
        </a:prstGeom>
      </xdr:spPr>
    </xdr:pic>
    <xdr:clientData/>
  </xdr:twoCellAnchor>
  <xdr:twoCellAnchor>
    <xdr:from>
      <xdr:col>10</xdr:col>
      <xdr:colOff>447623</xdr:colOff>
      <xdr:row>21</xdr:row>
      <xdr:rowOff>31229</xdr:rowOff>
    </xdr:from>
    <xdr:to>
      <xdr:col>21</xdr:col>
      <xdr:colOff>265388</xdr:colOff>
      <xdr:row>48</xdr:row>
      <xdr:rowOff>28139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84DD726-3F0F-42AC-A295-22E8209E9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343525</xdr:colOff>
      <xdr:row>21</xdr:row>
      <xdr:rowOff>20821</xdr:rowOff>
    </xdr:from>
    <xdr:to>
      <xdr:col>10</xdr:col>
      <xdr:colOff>243301</xdr:colOff>
      <xdr:row>48</xdr:row>
      <xdr:rowOff>31230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906F119-2E2D-4ECE-B303-AC4476C6C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395573</xdr:colOff>
      <xdr:row>21</xdr:row>
      <xdr:rowOff>31230</xdr:rowOff>
    </xdr:from>
    <xdr:to>
      <xdr:col>32</xdr:col>
      <xdr:colOff>76523</xdr:colOff>
      <xdr:row>48</xdr:row>
      <xdr:rowOff>20820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5AFD3E9-F03E-4EDF-8FCD-D0E7B87CB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82</xdr:col>
      <xdr:colOff>0</xdr:colOff>
      <xdr:row>18</xdr:row>
      <xdr:rowOff>0</xdr:rowOff>
    </xdr:from>
    <xdr:to>
      <xdr:col>91</xdr:col>
      <xdr:colOff>463720</xdr:colOff>
      <xdr:row>26</xdr:row>
      <xdr:rowOff>70725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0F6259-7E5C-4472-95DB-6C6B2959D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91</xdr:col>
      <xdr:colOff>608989</xdr:colOff>
      <xdr:row>18</xdr:row>
      <xdr:rowOff>0</xdr:rowOff>
    </xdr:from>
    <xdr:to>
      <xdr:col>101</xdr:col>
      <xdr:colOff>451067</xdr:colOff>
      <xdr:row>21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4F1FD2-2A7B-4E88-9409-095063B5C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102</xdr:col>
      <xdr:colOff>57374</xdr:colOff>
      <xdr:row>18</xdr:row>
      <xdr:rowOff>0</xdr:rowOff>
    </xdr:from>
    <xdr:to>
      <xdr:col>111</xdr:col>
      <xdr:colOff>513803</xdr:colOff>
      <xdr:row>21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6794F0-6C69-42C3-BDC4-DFF0D523F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91</xdr:col>
      <xdr:colOff>591853</xdr:colOff>
      <xdr:row>21</xdr:row>
      <xdr:rowOff>0</xdr:rowOff>
    </xdr:from>
    <xdr:to>
      <xdr:col>101</xdr:col>
      <xdr:colOff>448855</xdr:colOff>
      <xdr:row>41</xdr:row>
      <xdr:rowOff>111116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8FFBDF-1E65-4472-ADA6-6611C5BA8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102</xdr:col>
      <xdr:colOff>130310</xdr:colOff>
      <xdr:row>21</xdr:row>
      <xdr:rowOff>0</xdr:rowOff>
    </xdr:from>
    <xdr:to>
      <xdr:col>112</xdr:col>
      <xdr:colOff>14929</xdr:colOff>
      <xdr:row>41</xdr:row>
      <xdr:rowOff>127117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4E3BA0-4A3D-4C0E-B471-74E792E12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92</xdr:col>
      <xdr:colOff>0</xdr:colOff>
      <xdr:row>45</xdr:row>
      <xdr:rowOff>0</xdr:rowOff>
    </xdr:from>
    <xdr:to>
      <xdr:col>101</xdr:col>
      <xdr:colOff>465906</xdr:colOff>
      <xdr:row>73</xdr:row>
      <xdr:rowOff>90871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AEBF8BD-8AEF-49A1-AF30-4AE4029A5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103</xdr:col>
      <xdr:colOff>0</xdr:colOff>
      <xdr:row>45</xdr:row>
      <xdr:rowOff>0</xdr:rowOff>
    </xdr:from>
    <xdr:to>
      <xdr:col>112</xdr:col>
      <xdr:colOff>465906</xdr:colOff>
      <xdr:row>73</xdr:row>
      <xdr:rowOff>90871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D5C3590-BA42-457F-8660-F32197C3B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8504-E3B0-4F26-B80E-BEF0497B123C}">
  <sheetPr>
    <pageSetUpPr fitToPage="1"/>
  </sheetPr>
  <dimension ref="A1:E5"/>
  <sheetViews>
    <sheetView zoomScale="85" workbookViewId="0">
      <selection activeCell="C11" sqref="C11"/>
    </sheetView>
  </sheetViews>
  <sheetFormatPr defaultRowHeight="14.5" x14ac:dyDescent="0.35"/>
  <cols>
    <col min="1" max="4" width="22.1796875" style="12" customWidth="1"/>
  </cols>
  <sheetData>
    <row r="1" spans="1:5" ht="15.5" x14ac:dyDescent="0.35">
      <c r="A1" s="23" t="s">
        <v>36</v>
      </c>
      <c r="B1" s="23">
        <v>3.06</v>
      </c>
      <c r="C1" s="23"/>
      <c r="D1" s="23"/>
    </row>
    <row r="2" spans="1:5" ht="15.5" x14ac:dyDescent="0.35">
      <c r="A2" s="21"/>
      <c r="B2" s="21"/>
      <c r="C2" s="21"/>
      <c r="D2" s="21"/>
    </row>
    <row r="3" spans="1:5" ht="46.5" x14ac:dyDescent="0.35">
      <c r="A3" s="24" t="s">
        <v>46</v>
      </c>
      <c r="B3" s="24" t="s">
        <v>43</v>
      </c>
      <c r="C3" s="24" t="s">
        <v>44</v>
      </c>
      <c r="D3" s="24" t="s">
        <v>45</v>
      </c>
      <c r="E3" s="11"/>
    </row>
    <row r="4" spans="1:5" ht="15.5" x14ac:dyDescent="0.35">
      <c r="A4" s="27" t="s">
        <v>47</v>
      </c>
      <c r="B4" s="27">
        <v>6</v>
      </c>
      <c r="C4" s="27">
        <v>5</v>
      </c>
      <c r="D4" s="25">
        <f>C4/((3^(1/2)*2))</f>
        <v>1.4433756729740645</v>
      </c>
    </row>
    <row r="5" spans="1:5" ht="15.5" x14ac:dyDescent="0.35">
      <c r="A5" s="21"/>
      <c r="B5" s="21"/>
      <c r="C5" s="21"/>
      <c r="D5" s="21"/>
    </row>
  </sheetData>
  <pageMargins left="0.7" right="0.7" top="0.75" bottom="0.75" header="0.3" footer="0.3"/>
  <pageSetup paperSize="9" fitToWidth="0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86AB-B44E-4909-9FFF-65B62AF171CB}">
  <sheetPr>
    <pageSetUpPr fitToPage="1"/>
  </sheetPr>
  <dimension ref="A1:AB19"/>
  <sheetViews>
    <sheetView tabSelected="1" zoomScale="70" zoomScaleNormal="70" workbookViewId="0">
      <selection activeCell="AJ28" sqref="AJ28"/>
    </sheetView>
  </sheetViews>
  <sheetFormatPr defaultRowHeight="14" x14ac:dyDescent="0.3"/>
  <cols>
    <col min="1" max="1" width="8.7265625" style="7"/>
    <col min="2" max="2" width="19.453125" style="7" customWidth="1"/>
    <col min="3" max="5" width="4" style="7" customWidth="1"/>
    <col min="6" max="6" width="7.90625" style="7" customWidth="1"/>
    <col min="7" max="7" width="8.90625" style="8" customWidth="1"/>
    <col min="8" max="10" width="4" style="7" customWidth="1"/>
    <col min="11" max="11" width="8.26953125" style="7" customWidth="1"/>
    <col min="12" max="12" width="8.90625" style="8" customWidth="1"/>
    <col min="13" max="28" width="7.7265625" style="8" customWidth="1"/>
    <col min="29" max="16384" width="8.7265625" style="8"/>
  </cols>
  <sheetData>
    <row r="1" spans="1:28" x14ac:dyDescent="0.3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3" spans="1:28" x14ac:dyDescent="0.3">
      <c r="A3" s="9" t="s">
        <v>7</v>
      </c>
      <c r="B3" s="9"/>
      <c r="C3" s="18" t="s">
        <v>39</v>
      </c>
      <c r="D3" s="26" t="s">
        <v>25</v>
      </c>
      <c r="E3" s="9"/>
      <c r="F3" s="9"/>
      <c r="H3" s="9" t="s">
        <v>34</v>
      </c>
      <c r="I3" s="9"/>
      <c r="J3" s="9"/>
      <c r="K3" s="9"/>
      <c r="L3" s="17" t="s">
        <v>39</v>
      </c>
      <c r="M3" s="10"/>
    </row>
    <row r="4" spans="1:28" x14ac:dyDescent="0.3">
      <c r="A4" s="9" t="s">
        <v>8</v>
      </c>
      <c r="B4" s="9"/>
      <c r="C4" s="18" t="s">
        <v>39</v>
      </c>
      <c r="D4" s="26"/>
      <c r="E4" s="9"/>
      <c r="F4" s="9"/>
      <c r="H4" s="9" t="s">
        <v>35</v>
      </c>
      <c r="I4" s="9"/>
      <c r="J4" s="9"/>
      <c r="K4" s="9"/>
      <c r="L4" s="17" t="s">
        <v>39</v>
      </c>
      <c r="M4" s="10"/>
    </row>
    <row r="5" spans="1:28" x14ac:dyDescent="0.3">
      <c r="A5" s="9" t="s">
        <v>9</v>
      </c>
      <c r="B5" s="9"/>
      <c r="C5" s="18" t="s">
        <v>39</v>
      </c>
      <c r="D5" s="22" t="s">
        <v>41</v>
      </c>
      <c r="E5" s="9"/>
      <c r="F5" s="9"/>
      <c r="H5" s="10"/>
      <c r="I5" s="9"/>
      <c r="J5" s="9"/>
      <c r="K5" s="9"/>
      <c r="L5" s="10"/>
    </row>
    <row r="7" spans="1:28" s="7" customFormat="1" ht="14.5" customHeight="1" x14ac:dyDescent="0.35">
      <c r="A7" s="32" t="s">
        <v>15</v>
      </c>
      <c r="B7" s="33" t="s">
        <v>10</v>
      </c>
      <c r="C7" s="33"/>
      <c r="D7" s="33"/>
      <c r="E7" s="33"/>
      <c r="F7" s="33"/>
      <c r="G7" s="33"/>
      <c r="H7" s="33" t="s">
        <v>10</v>
      </c>
      <c r="I7" s="33"/>
      <c r="J7" s="33"/>
      <c r="K7" s="33"/>
      <c r="L7" s="33"/>
      <c r="M7" s="34" t="s">
        <v>11</v>
      </c>
      <c r="N7" s="35"/>
      <c r="O7" s="35"/>
      <c r="P7" s="35"/>
      <c r="Q7" s="35"/>
      <c r="R7" s="35"/>
      <c r="S7" s="35"/>
      <c r="T7" s="35"/>
      <c r="U7" s="36" t="s">
        <v>26</v>
      </c>
      <c r="V7" s="37"/>
      <c r="W7" s="37"/>
      <c r="X7" s="37"/>
      <c r="Y7" s="37"/>
      <c r="Z7" s="37"/>
      <c r="AA7" s="37"/>
      <c r="AB7" s="37"/>
    </row>
    <row r="8" spans="1:28" s="7" customFormat="1" x14ac:dyDescent="0.35">
      <c r="A8" s="32"/>
      <c r="B8" s="33" t="s">
        <v>5</v>
      </c>
      <c r="C8" s="33"/>
      <c r="D8" s="33"/>
      <c r="E8" s="33"/>
      <c r="F8" s="33"/>
      <c r="G8" s="33"/>
      <c r="H8" s="33" t="s">
        <v>6</v>
      </c>
      <c r="I8" s="33"/>
      <c r="J8" s="33"/>
      <c r="K8" s="33"/>
      <c r="L8" s="33"/>
      <c r="M8" s="34" t="s">
        <v>12</v>
      </c>
      <c r="N8" s="35"/>
      <c r="O8" s="35"/>
      <c r="P8" s="35"/>
      <c r="Q8" s="38" t="s">
        <v>13</v>
      </c>
      <c r="R8" s="39"/>
      <c r="S8" s="39"/>
      <c r="T8" s="39"/>
      <c r="U8" s="36" t="s">
        <v>12</v>
      </c>
      <c r="V8" s="37"/>
      <c r="W8" s="37"/>
      <c r="X8" s="37"/>
      <c r="Y8" s="40" t="s">
        <v>13</v>
      </c>
      <c r="Z8" s="41"/>
      <c r="AA8" s="41"/>
      <c r="AB8" s="41"/>
    </row>
    <row r="9" spans="1:28" s="7" customFormat="1" ht="42" x14ac:dyDescent="0.35">
      <c r="A9" s="32"/>
      <c r="B9" s="2" t="s">
        <v>38</v>
      </c>
      <c r="C9" s="42" t="s">
        <v>5</v>
      </c>
      <c r="D9" s="43"/>
      <c r="E9" s="44"/>
      <c r="F9" s="20" t="s">
        <v>37</v>
      </c>
      <c r="G9" s="1" t="s">
        <v>14</v>
      </c>
      <c r="H9" s="45" t="s">
        <v>6</v>
      </c>
      <c r="I9" s="45"/>
      <c r="J9" s="45"/>
      <c r="K9" s="19" t="s">
        <v>37</v>
      </c>
      <c r="L9" s="1" t="s">
        <v>14</v>
      </c>
      <c r="M9" s="13" t="s">
        <v>16</v>
      </c>
      <c r="N9" s="13" t="s">
        <v>17</v>
      </c>
      <c r="O9" s="13" t="s">
        <v>18</v>
      </c>
      <c r="P9" s="13" t="s">
        <v>19</v>
      </c>
      <c r="Q9" s="15" t="s">
        <v>20</v>
      </c>
      <c r="R9" s="15" t="s">
        <v>21</v>
      </c>
      <c r="S9" s="15" t="s">
        <v>22</v>
      </c>
      <c r="T9" s="15" t="s">
        <v>23</v>
      </c>
      <c r="U9" s="14" t="s">
        <v>27</v>
      </c>
      <c r="V9" s="14" t="s">
        <v>28</v>
      </c>
      <c r="W9" s="14" t="s">
        <v>29</v>
      </c>
      <c r="X9" s="14" t="s">
        <v>30</v>
      </c>
      <c r="Y9" s="16" t="s">
        <v>42</v>
      </c>
      <c r="Z9" s="16" t="s">
        <v>31</v>
      </c>
      <c r="AA9" s="16" t="s">
        <v>32</v>
      </c>
      <c r="AB9" s="16" t="s">
        <v>33</v>
      </c>
    </row>
    <row r="10" spans="1:28" s="7" customFormat="1" ht="14.5" x14ac:dyDescent="0.35">
      <c r="A10" s="2">
        <v>1</v>
      </c>
      <c r="B10" s="2" t="str">
        <f t="shared" ref="B10:B18" si="0">"0.4 "&amp;F10&amp;"-"&amp;K10</f>
        <v>0.4 BFCOST-BFCOST</v>
      </c>
      <c r="C10" s="4" t="s">
        <v>1</v>
      </c>
      <c r="D10" s="4" t="s">
        <v>2</v>
      </c>
      <c r="E10" s="4" t="s">
        <v>0</v>
      </c>
      <c r="F10" s="2" t="str">
        <f t="shared" ref="F10:F18" si="1">CONCATENATE(C10,D10,E10)</f>
        <v>BFCOST</v>
      </c>
      <c r="G10" s="28"/>
      <c r="H10" s="4" t="s">
        <v>1</v>
      </c>
      <c r="I10" s="4" t="s">
        <v>2</v>
      </c>
      <c r="J10" s="4" t="s">
        <v>0</v>
      </c>
      <c r="K10" s="2" t="str">
        <f t="shared" ref="K10:K18" si="2">CONCATENATE(H10,I10,J10)</f>
        <v>BFCOST</v>
      </c>
      <c r="L10" s="28"/>
      <c r="M10" s="29"/>
      <c r="N10" s="30"/>
      <c r="O10" s="29"/>
      <c r="P10" s="29"/>
      <c r="Q10" s="30"/>
      <c r="R10" s="30"/>
      <c r="S10" s="29"/>
      <c r="T10" s="29"/>
      <c r="U10" s="30"/>
      <c r="V10" s="30"/>
      <c r="W10" s="29"/>
      <c r="X10" s="29"/>
      <c r="Y10" s="30"/>
      <c r="Z10" s="30"/>
      <c r="AA10" s="29"/>
      <c r="AB10" s="29"/>
    </row>
    <row r="11" spans="1:28" s="7" customFormat="1" ht="14.5" x14ac:dyDescent="0.35">
      <c r="A11" s="2">
        <v>2</v>
      </c>
      <c r="B11" s="2" t="str">
        <f t="shared" si="0"/>
        <v>0.4 BFCTST-BFCTST</v>
      </c>
      <c r="C11" s="5" t="s">
        <v>1</v>
      </c>
      <c r="D11" s="5" t="s">
        <v>3</v>
      </c>
      <c r="E11" s="5" t="s">
        <v>0</v>
      </c>
      <c r="F11" s="2" t="str">
        <f t="shared" si="1"/>
        <v>BFCTST</v>
      </c>
      <c r="G11" s="28"/>
      <c r="H11" s="5" t="s">
        <v>1</v>
      </c>
      <c r="I11" s="5" t="s">
        <v>3</v>
      </c>
      <c r="J11" s="5" t="s">
        <v>0</v>
      </c>
      <c r="K11" s="2" t="str">
        <f t="shared" si="2"/>
        <v>BFCTST</v>
      </c>
      <c r="L11" s="28"/>
      <c r="M11" s="29"/>
      <c r="N11" s="30"/>
      <c r="O11" s="29"/>
      <c r="P11" s="29"/>
      <c r="Q11" s="30"/>
      <c r="R11" s="30"/>
      <c r="S11" s="29"/>
      <c r="T11" s="29"/>
      <c r="U11" s="30"/>
      <c r="V11" s="30"/>
      <c r="W11" s="29"/>
      <c r="X11" s="29"/>
      <c r="Y11" s="30"/>
      <c r="Z11" s="30"/>
      <c r="AA11" s="29"/>
      <c r="AB11" s="29"/>
    </row>
    <row r="12" spans="1:28" s="7" customFormat="1" ht="14.5" x14ac:dyDescent="0.35">
      <c r="A12" s="2">
        <v>3</v>
      </c>
      <c r="B12" s="2" t="str">
        <f t="shared" si="0"/>
        <v>0.4 BFECST-BFECST</v>
      </c>
      <c r="C12" s="6" t="s">
        <v>1</v>
      </c>
      <c r="D12" s="6" t="s">
        <v>4</v>
      </c>
      <c r="E12" s="6" t="s">
        <v>0</v>
      </c>
      <c r="F12" s="2" t="str">
        <f t="shared" si="1"/>
        <v>BFECST</v>
      </c>
      <c r="G12" s="28"/>
      <c r="H12" s="6" t="s">
        <v>1</v>
      </c>
      <c r="I12" s="6" t="s">
        <v>4</v>
      </c>
      <c r="J12" s="6" t="s">
        <v>0</v>
      </c>
      <c r="K12" s="2" t="str">
        <f t="shared" si="2"/>
        <v>BFECST</v>
      </c>
      <c r="L12" s="28"/>
      <c r="M12" s="29"/>
      <c r="N12" s="30"/>
      <c r="O12" s="29"/>
      <c r="P12" s="29"/>
      <c r="Q12" s="30"/>
      <c r="R12" s="30"/>
      <c r="S12" s="29"/>
      <c r="T12" s="29"/>
      <c r="U12" s="30"/>
      <c r="V12" s="30"/>
      <c r="W12" s="29"/>
      <c r="X12" s="29"/>
      <c r="Y12" s="30"/>
      <c r="Z12" s="30"/>
      <c r="AA12" s="29"/>
      <c r="AB12" s="29"/>
    </row>
    <row r="13" spans="1:28" s="7" customFormat="1" x14ac:dyDescent="0.35">
      <c r="A13" s="2">
        <v>4</v>
      </c>
      <c r="B13" s="2" t="str">
        <f t="shared" si="0"/>
        <v>0.4 BFCOST-BFCTST</v>
      </c>
      <c r="C13" s="4" t="s">
        <v>1</v>
      </c>
      <c r="D13" s="4" t="s">
        <v>2</v>
      </c>
      <c r="E13" s="4" t="s">
        <v>0</v>
      </c>
      <c r="F13" s="2" t="str">
        <f t="shared" si="1"/>
        <v>BFCOST</v>
      </c>
      <c r="G13" s="28"/>
      <c r="H13" s="5" t="s">
        <v>1</v>
      </c>
      <c r="I13" s="5" t="s">
        <v>3</v>
      </c>
      <c r="J13" s="5" t="s">
        <v>0</v>
      </c>
      <c r="K13" s="2" t="str">
        <f t="shared" si="2"/>
        <v>BFCTST</v>
      </c>
      <c r="L13" s="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7" customFormat="1" x14ac:dyDescent="0.35">
      <c r="A14" s="2">
        <v>5</v>
      </c>
      <c r="B14" s="2" t="str">
        <f t="shared" si="0"/>
        <v>0.4 BFCOST-BFECST</v>
      </c>
      <c r="C14" s="4" t="s">
        <v>1</v>
      </c>
      <c r="D14" s="4" t="s">
        <v>2</v>
      </c>
      <c r="E14" s="4" t="s">
        <v>0</v>
      </c>
      <c r="F14" s="2" t="str">
        <f t="shared" si="1"/>
        <v>BFCOST</v>
      </c>
      <c r="G14" s="28"/>
      <c r="H14" s="6" t="s">
        <v>1</v>
      </c>
      <c r="I14" s="6" t="s">
        <v>4</v>
      </c>
      <c r="J14" s="6" t="s">
        <v>0</v>
      </c>
      <c r="K14" s="2" t="str">
        <f t="shared" si="2"/>
        <v>BFECST</v>
      </c>
      <c r="L14" s="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s="7" customFormat="1" x14ac:dyDescent="0.35">
      <c r="A15" s="2">
        <v>6</v>
      </c>
      <c r="B15" s="2" t="str">
        <f t="shared" si="0"/>
        <v>0.4 BFCTST-BFECST</v>
      </c>
      <c r="C15" s="5" t="s">
        <v>1</v>
      </c>
      <c r="D15" s="5" t="s">
        <v>3</v>
      </c>
      <c r="E15" s="5" t="s">
        <v>0</v>
      </c>
      <c r="F15" s="2" t="str">
        <f t="shared" si="1"/>
        <v>BFCTST</v>
      </c>
      <c r="G15" s="28"/>
      <c r="H15" s="6" t="s">
        <v>1</v>
      </c>
      <c r="I15" s="6" t="s">
        <v>4</v>
      </c>
      <c r="J15" s="6" t="s">
        <v>0</v>
      </c>
      <c r="K15" s="2" t="str">
        <f t="shared" si="2"/>
        <v>BFECST</v>
      </c>
      <c r="L15" s="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s="7" customFormat="1" x14ac:dyDescent="0.35">
      <c r="A16" s="2">
        <v>7</v>
      </c>
      <c r="B16" s="2" t="str">
        <f t="shared" si="0"/>
        <v>0.4 BFECST-BFCOST</v>
      </c>
      <c r="C16" s="6" t="s">
        <v>1</v>
      </c>
      <c r="D16" s="6" t="s">
        <v>4</v>
      </c>
      <c r="E16" s="6" t="s">
        <v>0</v>
      </c>
      <c r="F16" s="2" t="str">
        <f t="shared" si="1"/>
        <v>BFECST</v>
      </c>
      <c r="G16" s="28"/>
      <c r="H16" s="4" t="s">
        <v>1</v>
      </c>
      <c r="I16" s="4" t="s">
        <v>2</v>
      </c>
      <c r="J16" s="4" t="s">
        <v>0</v>
      </c>
      <c r="K16" s="2" t="str">
        <f t="shared" si="2"/>
        <v>BFCOST</v>
      </c>
      <c r="L16" s="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s="7" customFormat="1" ht="14.5" x14ac:dyDescent="0.35">
      <c r="A17" s="2">
        <v>8</v>
      </c>
      <c r="B17" s="2" t="str">
        <f t="shared" si="0"/>
        <v>0.4 BFCTST-BFCOST</v>
      </c>
      <c r="C17" s="5" t="s">
        <v>1</v>
      </c>
      <c r="D17" s="5" t="s">
        <v>3</v>
      </c>
      <c r="E17" s="5" t="s">
        <v>0</v>
      </c>
      <c r="F17" s="2" t="str">
        <f t="shared" si="1"/>
        <v>BFCTST</v>
      </c>
      <c r="G17" s="28"/>
      <c r="H17" s="4" t="s">
        <v>1</v>
      </c>
      <c r="I17" s="4" t="s">
        <v>2</v>
      </c>
      <c r="J17" s="4" t="s">
        <v>0</v>
      </c>
      <c r="K17" s="2" t="str">
        <f t="shared" si="2"/>
        <v>BFCOST</v>
      </c>
      <c r="L17" s="28"/>
      <c r="M17" s="29"/>
      <c r="N17" s="30"/>
      <c r="O17" s="29"/>
      <c r="P17" s="29"/>
      <c r="Q17" s="30"/>
      <c r="R17" s="30"/>
      <c r="S17" s="29"/>
      <c r="T17" s="29"/>
      <c r="U17" s="30"/>
      <c r="V17" s="30"/>
      <c r="W17" s="29"/>
      <c r="X17" s="29"/>
      <c r="Y17" s="30"/>
      <c r="Z17" s="30"/>
      <c r="AA17" s="29"/>
      <c r="AB17" s="29"/>
    </row>
    <row r="18" spans="1:28" s="7" customFormat="1" x14ac:dyDescent="0.35">
      <c r="A18" s="2">
        <v>9</v>
      </c>
      <c r="B18" s="2" t="str">
        <f t="shared" si="0"/>
        <v>0.4 BFECST-BFCTST</v>
      </c>
      <c r="C18" s="6" t="s">
        <v>1</v>
      </c>
      <c r="D18" s="6" t="s">
        <v>4</v>
      </c>
      <c r="E18" s="6" t="s">
        <v>0</v>
      </c>
      <c r="F18" s="2" t="str">
        <f t="shared" si="1"/>
        <v>BFECST</v>
      </c>
      <c r="G18" s="28"/>
      <c r="H18" s="5" t="s">
        <v>1</v>
      </c>
      <c r="I18" s="5" t="s">
        <v>3</v>
      </c>
      <c r="J18" s="5" t="s">
        <v>0</v>
      </c>
      <c r="K18" s="2" t="str">
        <f t="shared" si="2"/>
        <v>BFCTST</v>
      </c>
      <c r="L18" s="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L19" s="17"/>
    </row>
  </sheetData>
  <mergeCells count="14">
    <mergeCell ref="A1:AB1"/>
    <mergeCell ref="A7:A9"/>
    <mergeCell ref="B7:G7"/>
    <mergeCell ref="H7:L7"/>
    <mergeCell ref="M7:T7"/>
    <mergeCell ref="U7:AB7"/>
    <mergeCell ref="B8:G8"/>
    <mergeCell ref="H8:L8"/>
    <mergeCell ref="M8:P8"/>
    <mergeCell ref="Q8:T8"/>
    <mergeCell ref="U8:X8"/>
    <mergeCell ref="Y8:AB8"/>
    <mergeCell ref="C9:E9"/>
    <mergeCell ref="H9:J9"/>
  </mergeCells>
  <pageMargins left="0.70866141732283472" right="0.70866141732283472" top="0.74803149606299213" bottom="0.74803149606299213" header="0.31496062992125984" footer="0.31496062992125984"/>
  <pageSetup paperSize="9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3905-9BB7-4491-BE87-3AE49D22D208}">
  <sheetPr>
    <pageSetUpPr fitToPage="1"/>
  </sheetPr>
  <dimension ref="A1:AB19"/>
  <sheetViews>
    <sheetView zoomScale="64" zoomScaleNormal="115" workbookViewId="0">
      <selection activeCell="AA26" sqref="AA26"/>
    </sheetView>
  </sheetViews>
  <sheetFormatPr defaultRowHeight="14" x14ac:dyDescent="0.3"/>
  <cols>
    <col min="1" max="1" width="8.7265625" style="7"/>
    <col min="2" max="2" width="19.453125" style="7" customWidth="1"/>
    <col min="3" max="5" width="4" style="7" customWidth="1"/>
    <col min="6" max="6" width="7.90625" style="7" customWidth="1"/>
    <col min="7" max="7" width="8.90625" style="8" customWidth="1"/>
    <col min="8" max="10" width="4" style="7" customWidth="1"/>
    <col min="11" max="11" width="8.26953125" style="7" customWidth="1"/>
    <col min="12" max="12" width="8.90625" style="8" customWidth="1"/>
    <col min="13" max="28" width="7.7265625" style="8" customWidth="1"/>
    <col min="29" max="16384" width="8.7265625" style="8"/>
  </cols>
  <sheetData>
    <row r="1" spans="1:28" x14ac:dyDescent="0.3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3" spans="1:28" x14ac:dyDescent="0.3">
      <c r="A3" s="9" t="s">
        <v>7</v>
      </c>
      <c r="B3" s="9"/>
      <c r="C3" s="18" t="s">
        <v>39</v>
      </c>
      <c r="D3" s="26" t="s">
        <v>25</v>
      </c>
      <c r="E3" s="9"/>
      <c r="F3" s="9"/>
      <c r="H3" s="9" t="s">
        <v>34</v>
      </c>
      <c r="I3" s="9"/>
      <c r="J3" s="9"/>
      <c r="K3" s="9"/>
      <c r="L3" s="17" t="s">
        <v>39</v>
      </c>
      <c r="M3" s="10"/>
    </row>
    <row r="4" spans="1:28" x14ac:dyDescent="0.3">
      <c r="A4" s="9" t="s">
        <v>8</v>
      </c>
      <c r="B4" s="9"/>
      <c r="C4" s="18" t="s">
        <v>39</v>
      </c>
      <c r="D4" s="26"/>
      <c r="E4" s="9"/>
      <c r="F4" s="9"/>
      <c r="H4" s="9" t="s">
        <v>35</v>
      </c>
      <c r="I4" s="9"/>
      <c r="J4" s="9"/>
      <c r="K4" s="9"/>
      <c r="L4" s="17" t="s">
        <v>39</v>
      </c>
      <c r="M4" s="10"/>
    </row>
    <row r="5" spans="1:28" x14ac:dyDescent="0.3">
      <c r="A5" s="9" t="s">
        <v>9</v>
      </c>
      <c r="B5" s="9"/>
      <c r="C5" s="18" t="s">
        <v>39</v>
      </c>
      <c r="D5" s="22" t="s">
        <v>40</v>
      </c>
      <c r="E5" s="9"/>
      <c r="F5" s="9"/>
      <c r="H5" s="10"/>
      <c r="I5" s="9"/>
      <c r="J5" s="9"/>
      <c r="K5" s="9"/>
      <c r="L5" s="10"/>
    </row>
    <row r="7" spans="1:28" s="7" customFormat="1" ht="14.5" customHeight="1" x14ac:dyDescent="0.35">
      <c r="A7" s="32" t="s">
        <v>15</v>
      </c>
      <c r="B7" s="33" t="s">
        <v>10</v>
      </c>
      <c r="C7" s="33"/>
      <c r="D7" s="33"/>
      <c r="E7" s="33"/>
      <c r="F7" s="33"/>
      <c r="G7" s="33"/>
      <c r="H7" s="33" t="s">
        <v>10</v>
      </c>
      <c r="I7" s="33"/>
      <c r="J7" s="33"/>
      <c r="K7" s="33"/>
      <c r="L7" s="33"/>
      <c r="M7" s="34" t="s">
        <v>11</v>
      </c>
      <c r="N7" s="35"/>
      <c r="O7" s="35"/>
      <c r="P7" s="35"/>
      <c r="Q7" s="35"/>
      <c r="R7" s="35"/>
      <c r="S7" s="35"/>
      <c r="T7" s="35"/>
      <c r="U7" s="36" t="s">
        <v>26</v>
      </c>
      <c r="V7" s="37"/>
      <c r="W7" s="37"/>
      <c r="X7" s="37"/>
      <c r="Y7" s="37"/>
      <c r="Z7" s="37"/>
      <c r="AA7" s="37"/>
      <c r="AB7" s="37"/>
    </row>
    <row r="8" spans="1:28" s="7" customFormat="1" x14ac:dyDescent="0.35">
      <c r="A8" s="32"/>
      <c r="B8" s="33" t="s">
        <v>5</v>
      </c>
      <c r="C8" s="33"/>
      <c r="D8" s="33"/>
      <c r="E8" s="33"/>
      <c r="F8" s="33"/>
      <c r="G8" s="33"/>
      <c r="H8" s="33" t="s">
        <v>6</v>
      </c>
      <c r="I8" s="33"/>
      <c r="J8" s="33"/>
      <c r="K8" s="33"/>
      <c r="L8" s="33"/>
      <c r="M8" s="34" t="s">
        <v>12</v>
      </c>
      <c r="N8" s="35"/>
      <c r="O8" s="35"/>
      <c r="P8" s="35"/>
      <c r="Q8" s="38" t="s">
        <v>13</v>
      </c>
      <c r="R8" s="39"/>
      <c r="S8" s="39"/>
      <c r="T8" s="39"/>
      <c r="U8" s="36" t="s">
        <v>12</v>
      </c>
      <c r="V8" s="37"/>
      <c r="W8" s="37"/>
      <c r="X8" s="37"/>
      <c r="Y8" s="40" t="s">
        <v>13</v>
      </c>
      <c r="Z8" s="41"/>
      <c r="AA8" s="41"/>
      <c r="AB8" s="41"/>
    </row>
    <row r="9" spans="1:28" s="7" customFormat="1" ht="42" x14ac:dyDescent="0.35">
      <c r="A9" s="32"/>
      <c r="B9" s="2" t="s">
        <v>38</v>
      </c>
      <c r="C9" s="42" t="s">
        <v>5</v>
      </c>
      <c r="D9" s="43"/>
      <c r="E9" s="44"/>
      <c r="F9" s="20" t="s">
        <v>37</v>
      </c>
      <c r="G9" s="1" t="s">
        <v>14</v>
      </c>
      <c r="H9" s="45" t="s">
        <v>6</v>
      </c>
      <c r="I9" s="45"/>
      <c r="J9" s="45"/>
      <c r="K9" s="19" t="s">
        <v>37</v>
      </c>
      <c r="L9" s="1" t="s">
        <v>14</v>
      </c>
      <c r="M9" s="13" t="s">
        <v>16</v>
      </c>
      <c r="N9" s="13" t="s">
        <v>17</v>
      </c>
      <c r="O9" s="13" t="s">
        <v>18</v>
      </c>
      <c r="P9" s="13" t="s">
        <v>19</v>
      </c>
      <c r="Q9" s="15" t="s">
        <v>20</v>
      </c>
      <c r="R9" s="15" t="s">
        <v>21</v>
      </c>
      <c r="S9" s="15" t="s">
        <v>22</v>
      </c>
      <c r="T9" s="15" t="s">
        <v>23</v>
      </c>
      <c r="U9" s="14" t="s">
        <v>27</v>
      </c>
      <c r="V9" s="14" t="s">
        <v>28</v>
      </c>
      <c r="W9" s="14" t="s">
        <v>29</v>
      </c>
      <c r="X9" s="14" t="s">
        <v>30</v>
      </c>
      <c r="Y9" s="16" t="s">
        <v>42</v>
      </c>
      <c r="Z9" s="16" t="s">
        <v>31</v>
      </c>
      <c r="AA9" s="16" t="s">
        <v>32</v>
      </c>
      <c r="AB9" s="16" t="s">
        <v>33</v>
      </c>
    </row>
    <row r="10" spans="1:28" s="7" customFormat="1" ht="14.5" x14ac:dyDescent="0.35">
      <c r="A10" s="2">
        <v>1</v>
      </c>
      <c r="B10" s="2" t="str">
        <f>"0.5 "&amp;F10&amp;"-"&amp;K10</f>
        <v>0.5 BFCOST-BFCOST</v>
      </c>
      <c r="C10" s="4" t="s">
        <v>1</v>
      </c>
      <c r="D10" s="4" t="s">
        <v>2</v>
      </c>
      <c r="E10" s="4" t="s">
        <v>0</v>
      </c>
      <c r="F10" s="2" t="str">
        <f t="shared" ref="F10:F18" si="0">CONCATENATE(C10,D10,E10)</f>
        <v>BFCOST</v>
      </c>
      <c r="G10" s="28"/>
      <c r="H10" s="4" t="s">
        <v>1</v>
      </c>
      <c r="I10" s="4" t="s">
        <v>2</v>
      </c>
      <c r="J10" s="4" t="s">
        <v>0</v>
      </c>
      <c r="K10" s="2" t="str">
        <f t="shared" ref="K10:K18" si="1">CONCATENATE(H10,I10,J10)</f>
        <v>BFCOST</v>
      </c>
      <c r="L10" s="28"/>
      <c r="M10" s="29"/>
      <c r="N10" s="30"/>
      <c r="O10" s="29"/>
      <c r="P10" s="29"/>
      <c r="Q10" s="30"/>
      <c r="R10" s="30"/>
      <c r="S10" s="29"/>
      <c r="T10" s="29"/>
      <c r="U10" s="30"/>
      <c r="V10" s="30"/>
      <c r="W10" s="29"/>
      <c r="X10" s="29"/>
      <c r="Y10" s="30"/>
      <c r="Z10" s="30"/>
      <c r="AA10" s="29"/>
      <c r="AB10" s="29"/>
    </row>
    <row r="11" spans="1:28" s="7" customFormat="1" ht="14.5" x14ac:dyDescent="0.35">
      <c r="A11" s="2">
        <v>2</v>
      </c>
      <c r="B11" s="2" t="str">
        <f t="shared" ref="B11:B18" si="2">"0.5 "&amp;F11&amp;"-"&amp;K11</f>
        <v>0.5 BFCTST-BFCTST</v>
      </c>
      <c r="C11" s="5" t="s">
        <v>1</v>
      </c>
      <c r="D11" s="5" t="s">
        <v>3</v>
      </c>
      <c r="E11" s="5" t="s">
        <v>0</v>
      </c>
      <c r="F11" s="2" t="str">
        <f t="shared" si="0"/>
        <v>BFCTST</v>
      </c>
      <c r="G11" s="28"/>
      <c r="H11" s="5" t="s">
        <v>1</v>
      </c>
      <c r="I11" s="5" t="s">
        <v>3</v>
      </c>
      <c r="J11" s="5" t="s">
        <v>0</v>
      </c>
      <c r="K11" s="2" t="str">
        <f t="shared" si="1"/>
        <v>BFCTST</v>
      </c>
      <c r="L11" s="28"/>
      <c r="M11" s="29"/>
      <c r="N11" s="30"/>
      <c r="O11" s="29"/>
      <c r="P11" s="29"/>
      <c r="Q11" s="30"/>
      <c r="R11" s="30"/>
      <c r="S11" s="29"/>
      <c r="T11" s="29"/>
      <c r="U11" s="30"/>
      <c r="V11" s="30"/>
      <c r="W11" s="29"/>
      <c r="X11" s="29"/>
      <c r="Y11" s="30"/>
      <c r="Z11" s="30"/>
      <c r="AA11" s="29"/>
      <c r="AB11" s="29"/>
    </row>
    <row r="12" spans="1:28" s="7" customFormat="1" ht="14.5" x14ac:dyDescent="0.35">
      <c r="A12" s="2">
        <v>3</v>
      </c>
      <c r="B12" s="2" t="str">
        <f t="shared" si="2"/>
        <v>0.5 BFECST-BFECST</v>
      </c>
      <c r="C12" s="6" t="s">
        <v>1</v>
      </c>
      <c r="D12" s="6" t="s">
        <v>4</v>
      </c>
      <c r="E12" s="6" t="s">
        <v>0</v>
      </c>
      <c r="F12" s="2" t="str">
        <f t="shared" si="0"/>
        <v>BFECST</v>
      </c>
      <c r="G12" s="28"/>
      <c r="H12" s="6" t="s">
        <v>1</v>
      </c>
      <c r="I12" s="6" t="s">
        <v>4</v>
      </c>
      <c r="J12" s="6" t="s">
        <v>0</v>
      </c>
      <c r="K12" s="2" t="str">
        <f t="shared" si="1"/>
        <v>BFECST</v>
      </c>
      <c r="L12" s="28"/>
      <c r="M12" s="29"/>
      <c r="N12" s="30"/>
      <c r="O12" s="29"/>
      <c r="P12" s="29"/>
      <c r="Q12" s="30"/>
      <c r="R12" s="30"/>
      <c r="S12" s="29"/>
      <c r="T12" s="29"/>
      <c r="U12" s="30"/>
      <c r="V12" s="30"/>
      <c r="W12" s="29"/>
      <c r="X12" s="29"/>
      <c r="Y12" s="30"/>
      <c r="Z12" s="30"/>
      <c r="AA12" s="29"/>
      <c r="AB12" s="29"/>
    </row>
    <row r="13" spans="1:28" s="7" customFormat="1" x14ac:dyDescent="0.35">
      <c r="A13" s="2">
        <v>4</v>
      </c>
      <c r="B13" s="2" t="str">
        <f t="shared" si="2"/>
        <v>0.5 BFCOST-BFCTST</v>
      </c>
      <c r="C13" s="4" t="s">
        <v>1</v>
      </c>
      <c r="D13" s="4" t="s">
        <v>2</v>
      </c>
      <c r="E13" s="4" t="s">
        <v>0</v>
      </c>
      <c r="F13" s="2" t="str">
        <f t="shared" si="0"/>
        <v>BFCOST</v>
      </c>
      <c r="G13" s="28"/>
      <c r="H13" s="5" t="s">
        <v>1</v>
      </c>
      <c r="I13" s="5" t="s">
        <v>3</v>
      </c>
      <c r="J13" s="5" t="s">
        <v>0</v>
      </c>
      <c r="K13" s="2" t="str">
        <f t="shared" si="1"/>
        <v>BFCTST</v>
      </c>
      <c r="L13" s="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7" customFormat="1" x14ac:dyDescent="0.35">
      <c r="A14" s="2">
        <v>5</v>
      </c>
      <c r="B14" s="2" t="str">
        <f t="shared" si="2"/>
        <v>0.5 BFCOST-BFECST</v>
      </c>
      <c r="C14" s="4" t="s">
        <v>1</v>
      </c>
      <c r="D14" s="4" t="s">
        <v>2</v>
      </c>
      <c r="E14" s="4" t="s">
        <v>0</v>
      </c>
      <c r="F14" s="2" t="str">
        <f t="shared" si="0"/>
        <v>BFCOST</v>
      </c>
      <c r="G14" s="28"/>
      <c r="H14" s="6" t="s">
        <v>1</v>
      </c>
      <c r="I14" s="6" t="s">
        <v>4</v>
      </c>
      <c r="J14" s="6" t="s">
        <v>0</v>
      </c>
      <c r="K14" s="2" t="str">
        <f t="shared" si="1"/>
        <v>BFECST</v>
      </c>
      <c r="L14" s="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s="7" customFormat="1" x14ac:dyDescent="0.35">
      <c r="A15" s="2">
        <v>6</v>
      </c>
      <c r="B15" s="2" t="str">
        <f t="shared" si="2"/>
        <v>0.5 BFCTST-BFECST</v>
      </c>
      <c r="C15" s="5" t="s">
        <v>1</v>
      </c>
      <c r="D15" s="5" t="s">
        <v>3</v>
      </c>
      <c r="E15" s="5" t="s">
        <v>0</v>
      </c>
      <c r="F15" s="2" t="str">
        <f t="shared" si="0"/>
        <v>BFCTST</v>
      </c>
      <c r="G15" s="28"/>
      <c r="H15" s="6" t="s">
        <v>1</v>
      </c>
      <c r="I15" s="6" t="s">
        <v>4</v>
      </c>
      <c r="J15" s="6" t="s">
        <v>0</v>
      </c>
      <c r="K15" s="2" t="str">
        <f t="shared" si="1"/>
        <v>BFECST</v>
      </c>
      <c r="L15" s="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s="7" customFormat="1" x14ac:dyDescent="0.35">
      <c r="A16" s="2">
        <v>7</v>
      </c>
      <c r="B16" s="2" t="str">
        <f t="shared" si="2"/>
        <v>0.5 BFECST-BFCOST</v>
      </c>
      <c r="C16" s="6" t="s">
        <v>1</v>
      </c>
      <c r="D16" s="6" t="s">
        <v>4</v>
      </c>
      <c r="E16" s="6" t="s">
        <v>0</v>
      </c>
      <c r="F16" s="2" t="str">
        <f t="shared" si="0"/>
        <v>BFECST</v>
      </c>
      <c r="G16" s="28"/>
      <c r="H16" s="4" t="s">
        <v>1</v>
      </c>
      <c r="I16" s="4" t="s">
        <v>2</v>
      </c>
      <c r="J16" s="4" t="s">
        <v>0</v>
      </c>
      <c r="K16" s="2" t="str">
        <f t="shared" si="1"/>
        <v>BFCOST</v>
      </c>
      <c r="L16" s="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s="7" customFormat="1" ht="14.5" x14ac:dyDescent="0.35">
      <c r="A17" s="2">
        <v>8</v>
      </c>
      <c r="B17" s="2" t="str">
        <f t="shared" si="2"/>
        <v>0.5 BFCTST-BFCOST</v>
      </c>
      <c r="C17" s="5" t="s">
        <v>1</v>
      </c>
      <c r="D17" s="5" t="s">
        <v>3</v>
      </c>
      <c r="E17" s="5" t="s">
        <v>0</v>
      </c>
      <c r="F17" s="2" t="str">
        <f t="shared" si="0"/>
        <v>BFCTST</v>
      </c>
      <c r="G17" s="28"/>
      <c r="H17" s="4" t="s">
        <v>1</v>
      </c>
      <c r="I17" s="4" t="s">
        <v>2</v>
      </c>
      <c r="J17" s="4" t="s">
        <v>0</v>
      </c>
      <c r="K17" s="2" t="str">
        <f t="shared" si="1"/>
        <v>BFCOST</v>
      </c>
      <c r="L17" s="28"/>
      <c r="M17" s="29"/>
      <c r="N17" s="30"/>
      <c r="O17" s="29"/>
      <c r="P17" s="29"/>
      <c r="Q17" s="30"/>
      <c r="R17" s="30"/>
      <c r="S17" s="29"/>
      <c r="T17" s="29"/>
      <c r="U17" s="30"/>
      <c r="V17" s="30"/>
      <c r="W17" s="29"/>
      <c r="X17" s="29"/>
      <c r="Y17" s="30"/>
      <c r="Z17" s="30"/>
      <c r="AA17" s="29"/>
      <c r="AB17" s="29"/>
    </row>
    <row r="18" spans="1:28" s="7" customFormat="1" x14ac:dyDescent="0.35">
      <c r="A18" s="2">
        <v>9</v>
      </c>
      <c r="B18" s="2" t="str">
        <f t="shared" si="2"/>
        <v>0.5 BFECST-BFCTST</v>
      </c>
      <c r="C18" s="6" t="s">
        <v>1</v>
      </c>
      <c r="D18" s="6" t="s">
        <v>4</v>
      </c>
      <c r="E18" s="6" t="s">
        <v>0</v>
      </c>
      <c r="F18" s="2" t="str">
        <f t="shared" si="0"/>
        <v>BFECST</v>
      </c>
      <c r="G18" s="28"/>
      <c r="H18" s="5" t="s">
        <v>1</v>
      </c>
      <c r="I18" s="5" t="s">
        <v>3</v>
      </c>
      <c r="J18" s="5" t="s">
        <v>0</v>
      </c>
      <c r="K18" s="2" t="str">
        <f t="shared" si="1"/>
        <v>BFCTST</v>
      </c>
      <c r="L18" s="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L19" s="17"/>
    </row>
  </sheetData>
  <sortState xmlns:xlrd2="http://schemas.microsoft.com/office/spreadsheetml/2017/richdata2" ref="A10:AB18">
    <sortCondition ref="C10:C18"/>
  </sortState>
  <mergeCells count="14">
    <mergeCell ref="A1:AB1"/>
    <mergeCell ref="U7:AB7"/>
    <mergeCell ref="U8:X8"/>
    <mergeCell ref="Y8:AB8"/>
    <mergeCell ref="H9:J9"/>
    <mergeCell ref="A7:A9"/>
    <mergeCell ref="B7:G7"/>
    <mergeCell ref="H7:L7"/>
    <mergeCell ref="M7:T7"/>
    <mergeCell ref="B8:G8"/>
    <mergeCell ref="H8:L8"/>
    <mergeCell ref="M8:P8"/>
    <mergeCell ref="Q8:T8"/>
    <mergeCell ref="C9:E9"/>
  </mergeCells>
  <pageMargins left="0.70866141732283472" right="0.70866141732283472" top="0.74803149606299213" bottom="0.74803149606299213" header="0.31496062992125984" footer="0.31496062992125984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PGA 0,4</vt:lpstr>
      <vt:lpstr>PGA 0,5</vt:lpstr>
      <vt:lpstr>'PGA 0,4'!Print_Area</vt:lpstr>
      <vt:lpstr>'PGA 0,5'!Print_Area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 Findanavy</dc:creator>
  <cp:lastModifiedBy>lenovolegion.hmdx@outlook.com</cp:lastModifiedBy>
  <cp:lastPrinted>2025-10-12T07:16:01Z</cp:lastPrinted>
  <dcterms:created xsi:type="dcterms:W3CDTF">2025-02-04T04:55:39Z</dcterms:created>
  <dcterms:modified xsi:type="dcterms:W3CDTF">2026-07-14T10:49:41Z</dcterms:modified>
</cp:coreProperties>
</file>